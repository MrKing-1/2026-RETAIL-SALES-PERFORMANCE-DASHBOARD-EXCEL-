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defaultThemeVersion="202300"/>
  <mc:AlternateContent xmlns:mc="http://schemas.openxmlformats.org/markup-compatibility/2006">
    <mc:Choice Requires="x15">
      <x15ac:absPath xmlns:x15ac="http://schemas.microsoft.com/office/spreadsheetml/2010/11/ac" url="C:\Users\hp\Downloads\DEEKINGE DATA CLASS\EXCEL\"/>
    </mc:Choice>
  </mc:AlternateContent>
  <xr:revisionPtr revIDLastSave="0" documentId="13_ncr:1_{CF8F0418-E8BF-465D-A1B2-24B701CD5EA4}" xr6:coauthVersionLast="47" xr6:coauthVersionMax="47" xr10:uidLastSave="{00000000-0000-0000-0000-000000000000}"/>
  <bookViews>
    <workbookView xWindow="-108" yWindow="-108" windowWidth="23256" windowHeight="12576" activeTab="2" xr2:uid="{A7BC0D90-640A-4C45-8DC4-5E1C9F4E0210}"/>
  </bookViews>
  <sheets>
    <sheet name="Sales_Data" sheetId="1" r:id="rId1"/>
    <sheet name="Pivot" sheetId="2" r:id="rId2"/>
    <sheet name="Dashboard" sheetId="3" r:id="rId3"/>
  </sheets>
  <definedNames>
    <definedName name="Slicer_Ord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a="1"/>
  <c r="P2" i="1" s="1"/>
  <c r="P3" i="1" a="1"/>
  <c r="P3" i="1" s="1"/>
  <c r="P4" i="1" a="1"/>
  <c r="P4" i="1" s="1"/>
  <c r="P5" i="1" a="1"/>
  <c r="P5" i="1"/>
  <c r="P6" i="1" a="1"/>
  <c r="P6" i="1" s="1"/>
  <c r="P7" i="1" a="1"/>
  <c r="P7" i="1" s="1"/>
  <c r="P8" i="1" a="1"/>
  <c r="P8" i="1" s="1"/>
  <c r="P9" i="1" a="1"/>
  <c r="P9" i="1"/>
  <c r="P10" i="1" a="1"/>
  <c r="P10" i="1" s="1"/>
  <c r="P11" i="1" a="1"/>
  <c r="P11" i="1"/>
  <c r="P12" i="1" a="1"/>
  <c r="P12" i="1" s="1"/>
  <c r="P13" i="1" a="1"/>
  <c r="P13" i="1" s="1"/>
  <c r="P14" i="1" a="1"/>
  <c r="P14" i="1" s="1"/>
  <c r="P15" i="1" a="1"/>
  <c r="P15" i="1" s="1"/>
  <c r="P16" i="1" a="1"/>
  <c r="P16" i="1" s="1"/>
  <c r="P17" i="1" a="1"/>
  <c r="P17" i="1"/>
  <c r="P18" i="1" a="1"/>
  <c r="P18" i="1" s="1"/>
  <c r="P19" i="1" a="1"/>
  <c r="P19" i="1"/>
  <c r="P20" i="1" a="1"/>
  <c r="P20" i="1" s="1"/>
  <c r="P21" i="1" a="1"/>
  <c r="P21" i="1" s="1"/>
  <c r="P22" i="1" a="1"/>
  <c r="P22" i="1" s="1"/>
  <c r="P23" i="1" a="1"/>
  <c r="P23" i="1" s="1"/>
  <c r="P24" i="1" a="1"/>
  <c r="P24" i="1" s="1"/>
  <c r="P25" i="1" a="1"/>
  <c r="P25" i="1"/>
  <c r="P26" i="1" a="1"/>
  <c r="P26" i="1" s="1"/>
  <c r="P27" i="1" a="1"/>
  <c r="P27" i="1"/>
  <c r="P28" i="1" a="1"/>
  <c r="P28" i="1" s="1"/>
  <c r="P29" i="1" a="1"/>
  <c r="P29" i="1" s="1"/>
  <c r="P30" i="1" a="1"/>
  <c r="P30" i="1" s="1"/>
  <c r="P31" i="1" a="1"/>
  <c r="P31" i="1" s="1"/>
  <c r="P32" i="1" a="1"/>
  <c r="P32" i="1" s="1"/>
  <c r="P33" i="1" a="1"/>
  <c r="P33" i="1"/>
  <c r="P34" i="1" a="1"/>
  <c r="P34" i="1" s="1"/>
  <c r="P35" i="1" a="1"/>
  <c r="P35" i="1"/>
  <c r="P36" i="1" a="1"/>
  <c r="P36" i="1" s="1"/>
  <c r="P37" i="1" a="1"/>
  <c r="P37" i="1" s="1"/>
  <c r="P38" i="1" a="1"/>
  <c r="P38" i="1" s="1"/>
  <c r="P39" i="1" a="1"/>
  <c r="P39" i="1" s="1"/>
  <c r="P40" i="1" a="1"/>
  <c r="P40" i="1" s="1"/>
  <c r="P41" i="1" a="1"/>
  <c r="P41" i="1"/>
  <c r="P42" i="1" a="1"/>
  <c r="P42" i="1" s="1"/>
  <c r="P43" i="1" a="1"/>
  <c r="P43" i="1"/>
  <c r="P44" i="1" a="1"/>
  <c r="P44" i="1" s="1"/>
  <c r="P45" i="1" a="1"/>
  <c r="P45" i="1" s="1"/>
  <c r="P46" i="1" a="1"/>
  <c r="P46" i="1" s="1"/>
  <c r="P47" i="1" a="1"/>
  <c r="P47" i="1" s="1"/>
  <c r="P48" i="1" a="1"/>
  <c r="P48" i="1" s="1"/>
  <c r="P49" i="1" a="1"/>
  <c r="P49" i="1"/>
  <c r="P50" i="1" a="1"/>
  <c r="P50" i="1" s="1"/>
  <c r="P51" i="1" a="1"/>
  <c r="P51" i="1"/>
  <c r="P52" i="1" a="1"/>
  <c r="P52" i="1" s="1"/>
  <c r="P53" i="1" a="1"/>
  <c r="P53" i="1" s="1"/>
  <c r="P54" i="1" a="1"/>
  <c r="P54" i="1" s="1"/>
  <c r="P55" i="1" a="1"/>
  <c r="P55" i="1" s="1"/>
  <c r="P56" i="1" a="1"/>
  <c r="P56" i="1" s="1"/>
  <c r="P57" i="1" a="1"/>
  <c r="P57" i="1"/>
  <c r="P58" i="1" a="1"/>
  <c r="P58" i="1" s="1"/>
  <c r="P59" i="1" a="1"/>
  <c r="P59" i="1"/>
  <c r="P60" i="1" a="1"/>
  <c r="P60" i="1" s="1"/>
  <c r="P61" i="1" a="1"/>
  <c r="P61" i="1" s="1"/>
  <c r="P62" i="1" a="1"/>
  <c r="P62" i="1" s="1"/>
  <c r="P63" i="1" a="1"/>
  <c r="P63" i="1" s="1"/>
  <c r="P64" i="1" a="1"/>
  <c r="P64" i="1" s="1"/>
  <c r="P65" i="1" a="1"/>
  <c r="P65" i="1"/>
  <c r="P66" i="1" a="1"/>
  <c r="P66" i="1" s="1"/>
  <c r="P67" i="1" a="1"/>
  <c r="P67" i="1"/>
  <c r="P68" i="1" a="1"/>
  <c r="P68" i="1" s="1"/>
  <c r="P69" i="1" a="1"/>
  <c r="P69" i="1" s="1"/>
  <c r="P70" i="1" a="1"/>
  <c r="P70" i="1" s="1"/>
  <c r="P71" i="1" a="1"/>
  <c r="P71" i="1" s="1"/>
  <c r="P72" i="1" a="1"/>
  <c r="P72" i="1" s="1"/>
  <c r="P73" i="1" a="1"/>
  <c r="P73" i="1"/>
  <c r="P74" i="1" a="1"/>
  <c r="P74" i="1" s="1"/>
  <c r="P75" i="1" a="1"/>
  <c r="P75" i="1"/>
  <c r="P76" i="1" a="1"/>
  <c r="P76" i="1" s="1"/>
  <c r="P77" i="1" a="1"/>
  <c r="P77" i="1" s="1"/>
  <c r="P78" i="1" a="1"/>
  <c r="P78" i="1" s="1"/>
  <c r="P79" i="1" a="1"/>
  <c r="P79" i="1" s="1"/>
  <c r="P80" i="1" a="1"/>
  <c r="P80" i="1" s="1"/>
  <c r="P81" i="1" a="1"/>
  <c r="P81" i="1"/>
  <c r="P82" i="1" a="1"/>
  <c r="P82" i="1" s="1"/>
  <c r="P83" i="1" a="1"/>
  <c r="P83" i="1"/>
  <c r="P84" i="1" a="1"/>
  <c r="P84" i="1" s="1"/>
  <c r="P85" i="1" a="1"/>
  <c r="P85" i="1" s="1"/>
  <c r="P86" i="1" a="1"/>
  <c r="P86" i="1" s="1"/>
  <c r="P87" i="1" a="1"/>
  <c r="P87" i="1" s="1"/>
  <c r="P88" i="1" a="1"/>
  <c r="P88" i="1" s="1"/>
  <c r="P89" i="1" a="1"/>
  <c r="P89" i="1"/>
  <c r="P90" i="1" a="1"/>
  <c r="P90" i="1" s="1"/>
  <c r="P91" i="1" a="1"/>
  <c r="P91" i="1"/>
  <c r="P92" i="1" a="1"/>
  <c r="P92" i="1" s="1"/>
  <c r="P93" i="1" a="1"/>
  <c r="P93" i="1" s="1"/>
  <c r="P94" i="1" a="1"/>
  <c r="P94" i="1" s="1"/>
  <c r="P95" i="1" a="1"/>
  <c r="P95" i="1" s="1"/>
  <c r="P96" i="1" a="1"/>
  <c r="P96" i="1" s="1"/>
  <c r="P97" i="1" a="1"/>
  <c r="P97" i="1"/>
  <c r="P98" i="1" a="1"/>
  <c r="P98" i="1" s="1"/>
  <c r="P99" i="1" a="1"/>
  <c r="P99" i="1"/>
  <c r="P100" i="1" a="1"/>
  <c r="P100" i="1" s="1"/>
  <c r="P101" i="1" a="1"/>
  <c r="P101" i="1" s="1"/>
  <c r="P102" i="1" a="1"/>
  <c r="P102" i="1" s="1"/>
  <c r="P103" i="1" a="1"/>
  <c r="P103" i="1" s="1"/>
  <c r="P104" i="1" a="1"/>
  <c r="P104" i="1" s="1"/>
  <c r="P105" i="1" a="1"/>
  <c r="P105" i="1"/>
  <c r="P106" i="1" a="1"/>
  <c r="P106" i="1" s="1"/>
  <c r="P107" i="1" a="1"/>
  <c r="P107" i="1"/>
  <c r="P108" i="1" a="1"/>
  <c r="P108" i="1" s="1"/>
  <c r="P109" i="1" a="1"/>
  <c r="P109" i="1" s="1"/>
  <c r="P110" i="1" a="1"/>
  <c r="P110" i="1" s="1"/>
  <c r="P111" i="1" a="1"/>
  <c r="P111" i="1" s="1"/>
  <c r="P112" i="1" a="1"/>
  <c r="P112" i="1" s="1"/>
  <c r="P113" i="1" a="1"/>
  <c r="P113" i="1"/>
  <c r="P114" i="1" a="1"/>
  <c r="P114" i="1" s="1"/>
  <c r="P115" i="1" a="1"/>
  <c r="P115" i="1"/>
  <c r="P116" i="1" a="1"/>
  <c r="P116" i="1" s="1"/>
  <c r="P117" i="1" a="1"/>
  <c r="P117" i="1" s="1"/>
  <c r="P118" i="1" a="1"/>
  <c r="P118" i="1" s="1"/>
  <c r="P119" i="1" a="1"/>
  <c r="P119" i="1" s="1"/>
  <c r="P120" i="1" a="1"/>
  <c r="P120" i="1" s="1"/>
  <c r="P121" i="1" a="1"/>
  <c r="P121" i="1"/>
  <c r="P122" i="1" a="1"/>
  <c r="P122" i="1" s="1"/>
  <c r="P123" i="1" a="1"/>
  <c r="P123" i="1"/>
  <c r="P124" i="1" a="1"/>
  <c r="P124" i="1" s="1"/>
  <c r="P125" i="1" a="1"/>
  <c r="P125" i="1" s="1"/>
  <c r="P126" i="1" a="1"/>
  <c r="P126" i="1" s="1"/>
  <c r="P127" i="1" a="1"/>
  <c r="P127" i="1" s="1"/>
  <c r="P128" i="1" a="1"/>
  <c r="P128" i="1" s="1"/>
  <c r="P129" i="1" a="1"/>
  <c r="P129" i="1"/>
  <c r="P130" i="1" a="1"/>
  <c r="P130" i="1" s="1"/>
  <c r="P131" i="1" a="1"/>
  <c r="P131" i="1"/>
  <c r="P132" i="1" a="1"/>
  <c r="P132" i="1" s="1"/>
  <c r="P133" i="1" a="1"/>
  <c r="P133" i="1" s="1"/>
  <c r="P134" i="1" a="1"/>
  <c r="P134" i="1" s="1"/>
  <c r="P135" i="1" a="1"/>
  <c r="P135" i="1" s="1"/>
  <c r="P136" i="1" a="1"/>
  <c r="P136" i="1" s="1"/>
  <c r="P137" i="1" a="1"/>
  <c r="P137" i="1"/>
  <c r="P138" i="1" a="1"/>
  <c r="P138" i="1" s="1"/>
  <c r="P139" i="1" a="1"/>
  <c r="P139" i="1"/>
  <c r="P140" i="1" a="1"/>
  <c r="P140" i="1" s="1"/>
  <c r="P141" i="1" a="1"/>
  <c r="P141" i="1" s="1"/>
  <c r="P142" i="1" a="1"/>
  <c r="P142" i="1" s="1"/>
  <c r="P143" i="1" a="1"/>
  <c r="P143" i="1" s="1"/>
  <c r="P144" i="1" a="1"/>
  <c r="P144" i="1" s="1"/>
  <c r="P145" i="1" a="1"/>
  <c r="P145" i="1"/>
  <c r="P146" i="1" a="1"/>
  <c r="P146" i="1" s="1"/>
  <c r="P147" i="1" a="1"/>
  <c r="P147" i="1"/>
  <c r="P148" i="1" a="1"/>
  <c r="P148" i="1" s="1"/>
  <c r="P149" i="1" a="1"/>
  <c r="P149" i="1" s="1"/>
  <c r="P150" i="1" a="1"/>
  <c r="P150" i="1" s="1"/>
  <c r="P151" i="1" a="1"/>
  <c r="P151" i="1" s="1"/>
  <c r="P152" i="1" a="1"/>
  <c r="P152" i="1" s="1"/>
  <c r="P153" i="1" a="1"/>
  <c r="P153" i="1"/>
  <c r="P154" i="1" a="1"/>
  <c r="P154" i="1" s="1"/>
  <c r="P155" i="1" a="1"/>
  <c r="P155" i="1"/>
  <c r="P156" i="1" a="1"/>
  <c r="P156" i="1" s="1"/>
  <c r="P157" i="1" a="1"/>
  <c r="P157" i="1" s="1"/>
  <c r="P158" i="1" a="1"/>
  <c r="P158" i="1" s="1"/>
  <c r="P159" i="1" a="1"/>
  <c r="P159" i="1" s="1"/>
  <c r="P160" i="1" a="1"/>
  <c r="P160" i="1" s="1"/>
  <c r="P161" i="1" a="1"/>
  <c r="P161" i="1"/>
  <c r="P162" i="1" a="1"/>
  <c r="P162" i="1" s="1"/>
  <c r="P163" i="1" a="1"/>
  <c r="P163" i="1"/>
  <c r="P164" i="1" a="1"/>
  <c r="P164" i="1" s="1"/>
  <c r="P165" i="1" a="1"/>
  <c r="P165" i="1" s="1"/>
  <c r="P166" i="1" a="1"/>
  <c r="P166" i="1" s="1"/>
  <c r="P167" i="1" a="1"/>
  <c r="P167" i="1" s="1"/>
  <c r="P168" i="1" a="1"/>
  <c r="P168" i="1" s="1"/>
  <c r="P169" i="1" a="1"/>
  <c r="P169" i="1"/>
  <c r="P170" i="1" a="1"/>
  <c r="P170" i="1" s="1"/>
  <c r="P171" i="1" a="1"/>
  <c r="P171" i="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c r="P304" i="1" a="1"/>
  <c r="P304" i="1" s="1"/>
  <c r="P305" i="1" a="1"/>
  <c r="P305" i="1"/>
  <c r="P306" i="1" a="1"/>
  <c r="P306" i="1" s="1"/>
  <c r="P307" i="1" a="1"/>
  <c r="P307" i="1"/>
  <c r="P308" i="1" a="1"/>
  <c r="P308" i="1" s="1"/>
  <c r="P309" i="1" a="1"/>
  <c r="P309" i="1"/>
  <c r="P310" i="1" a="1"/>
  <c r="P310" i="1" s="1"/>
  <c r="P311" i="1" a="1"/>
  <c r="P311" i="1"/>
  <c r="P312" i="1" a="1"/>
  <c r="P312" i="1" s="1"/>
  <c r="P313" i="1" a="1"/>
  <c r="P313" i="1"/>
  <c r="P314" i="1" a="1"/>
  <c r="P314" i="1" s="1"/>
  <c r="P315" i="1" a="1"/>
  <c r="P315" i="1"/>
  <c r="P316" i="1" a="1"/>
  <c r="P316" i="1" s="1"/>
  <c r="P317" i="1" a="1"/>
  <c r="P317" i="1"/>
  <c r="P318" i="1" a="1"/>
  <c r="P318" i="1" s="1"/>
  <c r="P319" i="1" a="1"/>
  <c r="P319" i="1"/>
  <c r="P320" i="1" a="1"/>
  <c r="P320" i="1" s="1"/>
  <c r="P321" i="1" a="1"/>
  <c r="P321" i="1"/>
  <c r="P322" i="1" a="1"/>
  <c r="P322" i="1" s="1"/>
  <c r="P323" i="1" a="1"/>
  <c r="P323" i="1"/>
  <c r="P324" i="1" a="1"/>
  <c r="P324" i="1" s="1"/>
  <c r="P325" i="1" a="1"/>
  <c r="P325" i="1"/>
  <c r="P326" i="1" a="1"/>
  <c r="P326" i="1" s="1"/>
  <c r="P327" i="1" a="1"/>
  <c r="P327" i="1"/>
  <c r="P328" i="1" a="1"/>
  <c r="P328" i="1" s="1"/>
  <c r="P329" i="1" a="1"/>
  <c r="P329" i="1"/>
  <c r="P330" i="1" a="1"/>
  <c r="P330" i="1" s="1"/>
  <c r="P331" i="1" a="1"/>
  <c r="P331" i="1"/>
  <c r="P332" i="1" a="1"/>
  <c r="P332" i="1" s="1"/>
  <c r="P333" i="1" a="1"/>
  <c r="P333" i="1"/>
  <c r="P334" i="1" a="1"/>
  <c r="P334" i="1" s="1"/>
  <c r="P335" i="1" a="1"/>
  <c r="P335" i="1"/>
  <c r="P336" i="1" a="1"/>
  <c r="P336" i="1" s="1"/>
  <c r="P337" i="1" a="1"/>
  <c r="P337" i="1"/>
  <c r="P338" i="1" a="1"/>
  <c r="P338" i="1" s="1"/>
  <c r="P339" i="1" a="1"/>
  <c r="P339" i="1"/>
  <c r="P340" i="1" a="1"/>
  <c r="P340" i="1" s="1"/>
  <c r="P341" i="1" a="1"/>
  <c r="P341" i="1"/>
  <c r="P342" i="1" a="1"/>
  <c r="P342" i="1" s="1"/>
  <c r="P343" i="1" a="1"/>
  <c r="P343" i="1"/>
  <c r="P344" i="1" a="1"/>
  <c r="P344" i="1" s="1"/>
  <c r="P345" i="1" a="1"/>
  <c r="P345" i="1"/>
  <c r="P346" i="1" a="1"/>
  <c r="P346" i="1" s="1"/>
  <c r="P347" i="1" a="1"/>
  <c r="P347" i="1"/>
  <c r="P348" i="1" a="1"/>
  <c r="P348" i="1" s="1"/>
  <c r="P349" i="1" a="1"/>
  <c r="P349" i="1"/>
  <c r="P350" i="1" a="1"/>
  <c r="P350" i="1" s="1"/>
  <c r="P351" i="1" a="1"/>
  <c r="P351" i="1"/>
  <c r="P352" i="1" a="1"/>
  <c r="P352" i="1" s="1"/>
  <c r="P353" i="1" a="1"/>
  <c r="P353" i="1"/>
  <c r="P354" i="1" a="1"/>
  <c r="P354" i="1" s="1"/>
  <c r="P355" i="1" a="1"/>
  <c r="P355" i="1"/>
  <c r="P356" i="1" a="1"/>
  <c r="P356" i="1" s="1"/>
  <c r="P357" i="1" a="1"/>
  <c r="P357" i="1"/>
  <c r="P358" i="1" a="1"/>
  <c r="P358" i="1" s="1"/>
  <c r="P359" i="1" a="1"/>
  <c r="P359" i="1"/>
  <c r="P360" i="1" a="1"/>
  <c r="P360" i="1" s="1"/>
  <c r="P361" i="1" a="1"/>
  <c r="P361" i="1"/>
  <c r="P362" i="1" a="1"/>
  <c r="P362" i="1" s="1"/>
  <c r="P363" i="1" a="1"/>
  <c r="P363" i="1"/>
  <c r="P364" i="1" a="1"/>
  <c r="P364" i="1" s="1"/>
  <c r="P365" i="1" a="1"/>
  <c r="P365" i="1"/>
  <c r="P366" i="1" a="1"/>
  <c r="P366" i="1" s="1"/>
  <c r="P367" i="1" a="1"/>
  <c r="P367" i="1"/>
  <c r="P368" i="1" a="1"/>
  <c r="P368" i="1" s="1"/>
  <c r="P369" i="1" a="1"/>
  <c r="P369" i="1"/>
  <c r="P370" i="1" a="1"/>
  <c r="P370" i="1" s="1"/>
  <c r="P371" i="1" a="1"/>
  <c r="P371" i="1"/>
  <c r="P372" i="1" a="1"/>
  <c r="P372" i="1" s="1"/>
  <c r="P373" i="1" a="1"/>
  <c r="P373" i="1"/>
  <c r="P374" i="1" a="1"/>
  <c r="P374" i="1" s="1"/>
  <c r="P375" i="1" a="1"/>
  <c r="P375" i="1"/>
  <c r="P376" i="1" a="1"/>
  <c r="P376" i="1" s="1"/>
  <c r="P377" i="1" a="1"/>
  <c r="P377" i="1"/>
  <c r="P378" i="1" a="1"/>
  <c r="P378" i="1" s="1"/>
  <c r="P379" i="1" a="1"/>
  <c r="P379" i="1"/>
  <c r="P380" i="1" a="1"/>
  <c r="P380" i="1" s="1"/>
  <c r="P381" i="1" a="1"/>
  <c r="P381" i="1"/>
  <c r="P382" i="1" a="1"/>
  <c r="P382" i="1" s="1"/>
  <c r="P383" i="1" a="1"/>
  <c r="P383" i="1"/>
  <c r="P384" i="1" a="1"/>
  <c r="P384" i="1" s="1"/>
  <c r="P385" i="1" a="1"/>
  <c r="P385" i="1"/>
  <c r="P386" i="1" a="1"/>
  <c r="P386" i="1" s="1"/>
  <c r="P387" i="1" a="1"/>
  <c r="P387" i="1"/>
  <c r="P388" i="1" a="1"/>
  <c r="P388" i="1" s="1"/>
  <c r="P389" i="1" a="1"/>
  <c r="P389" i="1"/>
  <c r="P390" i="1" a="1"/>
  <c r="P390" i="1" s="1"/>
  <c r="P391" i="1" a="1"/>
  <c r="P391" i="1"/>
  <c r="P392" i="1" a="1"/>
  <c r="P392" i="1" s="1"/>
  <c r="P393" i="1" a="1"/>
  <c r="P393" i="1"/>
  <c r="P394" i="1" a="1"/>
  <c r="P394" i="1" s="1"/>
  <c r="P395" i="1" a="1"/>
  <c r="P395" i="1"/>
  <c r="P396" i="1" a="1"/>
  <c r="P396" i="1" s="1"/>
  <c r="P397" i="1" a="1"/>
  <c r="P397" i="1"/>
  <c r="P398" i="1" a="1"/>
  <c r="P398" i="1" s="1"/>
  <c r="P399" i="1" a="1"/>
  <c r="P399" i="1"/>
  <c r="P400" i="1" a="1"/>
  <c r="P400" i="1" s="1"/>
  <c r="P401" i="1" a="1"/>
  <c r="P401" i="1"/>
  <c r="P402" i="1" a="1"/>
  <c r="P402" i="1" s="1"/>
  <c r="P403" i="1" a="1"/>
  <c r="P403" i="1"/>
  <c r="P404" i="1" a="1"/>
  <c r="P404" i="1" s="1"/>
  <c r="P405" i="1" a="1"/>
  <c r="P405" i="1"/>
  <c r="P406" i="1" a="1"/>
  <c r="P406" i="1" s="1"/>
  <c r="P407" i="1" a="1"/>
  <c r="P407" i="1"/>
  <c r="P408" i="1" a="1"/>
  <c r="P408" i="1" s="1"/>
  <c r="P409" i="1" a="1"/>
  <c r="P409" i="1"/>
  <c r="P410" i="1" a="1"/>
  <c r="P410" i="1" s="1"/>
  <c r="P411" i="1" a="1"/>
  <c r="P411" i="1"/>
  <c r="P412" i="1" a="1"/>
  <c r="P412" i="1" s="1"/>
  <c r="P413" i="1" a="1"/>
  <c r="P413" i="1"/>
  <c r="P414" i="1" a="1"/>
  <c r="P414" i="1" s="1"/>
  <c r="P415" i="1" a="1"/>
  <c r="P415" i="1"/>
  <c r="P416" i="1" a="1"/>
  <c r="P416" i="1" s="1"/>
  <c r="P417" i="1" a="1"/>
  <c r="P417" i="1"/>
  <c r="P418" i="1" a="1"/>
  <c r="P418" i="1" s="1"/>
  <c r="P419" i="1" a="1"/>
  <c r="P419" i="1"/>
  <c r="P420" i="1" a="1"/>
  <c r="P420" i="1" s="1"/>
  <c r="P421" i="1" a="1"/>
  <c r="P421" i="1"/>
  <c r="P422" i="1" a="1"/>
  <c r="P422" i="1" s="1"/>
  <c r="P423" i="1" a="1"/>
  <c r="P423" i="1"/>
  <c r="P424" i="1" a="1"/>
  <c r="P424" i="1" s="1"/>
  <c r="P425" i="1" a="1"/>
  <c r="P425" i="1"/>
  <c r="P426" i="1" a="1"/>
  <c r="P426" i="1" s="1"/>
  <c r="P427" i="1" a="1"/>
  <c r="P427" i="1"/>
  <c r="P428" i="1" a="1"/>
  <c r="P428" i="1" s="1"/>
  <c r="P429" i="1" a="1"/>
  <c r="P429" i="1"/>
  <c r="P430" i="1" a="1"/>
  <c r="P430" i="1" s="1"/>
  <c r="P431" i="1" a="1"/>
  <c r="P431" i="1"/>
  <c r="P432" i="1" a="1"/>
  <c r="P432" i="1" s="1"/>
  <c r="P433" i="1" a="1"/>
  <c r="P433" i="1"/>
  <c r="P434" i="1" a="1"/>
  <c r="P434" i="1" s="1"/>
  <c r="P435" i="1" a="1"/>
  <c r="P435" i="1"/>
  <c r="P436" i="1" a="1"/>
  <c r="P436" i="1" s="1"/>
  <c r="P437" i="1" a="1"/>
  <c r="P437" i="1"/>
  <c r="P438" i="1" a="1"/>
  <c r="P438" i="1" s="1"/>
  <c r="P439" i="1" a="1"/>
  <c r="P439" i="1"/>
  <c r="P440" i="1" a="1"/>
  <c r="P440" i="1" s="1"/>
  <c r="P441" i="1" a="1"/>
  <c r="P441" i="1"/>
  <c r="P442" i="1" a="1"/>
  <c r="P442" i="1" s="1"/>
  <c r="P443" i="1" a="1"/>
  <c r="P443" i="1"/>
  <c r="P444" i="1" a="1"/>
  <c r="P444" i="1" s="1"/>
  <c r="P445" i="1" a="1"/>
  <c r="P445" i="1"/>
  <c r="P446" i="1" a="1"/>
  <c r="P446" i="1" s="1"/>
  <c r="P447" i="1" a="1"/>
  <c r="P447" i="1"/>
  <c r="P448" i="1" a="1"/>
  <c r="P448" i="1" s="1"/>
  <c r="P449" i="1" a="1"/>
  <c r="P449" i="1"/>
  <c r="P450" i="1" a="1"/>
  <c r="P450" i="1" s="1"/>
  <c r="P451" i="1" a="1"/>
  <c r="P451" i="1"/>
  <c r="P452" i="1" a="1"/>
  <c r="P452" i="1" s="1"/>
  <c r="P453" i="1" a="1"/>
  <c r="P453" i="1"/>
  <c r="P454" i="1" a="1"/>
  <c r="P454" i="1" s="1"/>
  <c r="P455" i="1" a="1"/>
  <c r="P455" i="1"/>
  <c r="P456" i="1" a="1"/>
  <c r="P456" i="1" s="1"/>
  <c r="P457" i="1" a="1"/>
  <c r="P457" i="1"/>
  <c r="P458" i="1" a="1"/>
  <c r="P458" i="1" s="1"/>
  <c r="P459" i="1" a="1"/>
  <c r="P459" i="1"/>
  <c r="P460" i="1" a="1"/>
  <c r="P460" i="1" s="1"/>
  <c r="P461" i="1" a="1"/>
  <c r="P461" i="1"/>
  <c r="P462" i="1" a="1"/>
  <c r="P462" i="1" s="1"/>
  <c r="P463" i="1" a="1"/>
  <c r="P463" i="1"/>
  <c r="P464" i="1" a="1"/>
  <c r="P464" i="1" s="1"/>
  <c r="P465" i="1" a="1"/>
  <c r="P465" i="1"/>
  <c r="P466" i="1" a="1"/>
  <c r="P466" i="1" s="1"/>
  <c r="P467" i="1" a="1"/>
  <c r="P467" i="1"/>
  <c r="P468" i="1" a="1"/>
  <c r="P468" i="1" s="1"/>
  <c r="P469" i="1" a="1"/>
  <c r="P469" i="1"/>
  <c r="P470" i="1" a="1"/>
  <c r="P470" i="1" s="1"/>
  <c r="P471" i="1" a="1"/>
  <c r="P471" i="1"/>
  <c r="P472" i="1" a="1"/>
  <c r="P472" i="1" s="1"/>
  <c r="P473" i="1" a="1"/>
  <c r="P473" i="1"/>
  <c r="P474" i="1" a="1"/>
  <c r="P474" i="1" s="1"/>
  <c r="P475" i="1" a="1"/>
  <c r="P475" i="1"/>
  <c r="P476" i="1" a="1"/>
  <c r="P476" i="1" s="1"/>
  <c r="P477" i="1" a="1"/>
  <c r="P477" i="1"/>
  <c r="P478" i="1" a="1"/>
  <c r="P478" i="1" s="1"/>
  <c r="P479" i="1" a="1"/>
  <c r="P479" i="1"/>
  <c r="P480" i="1" a="1"/>
  <c r="P480" i="1" s="1"/>
  <c r="P481" i="1" a="1"/>
  <c r="P481" i="1"/>
  <c r="P482" i="1" a="1"/>
  <c r="P482" i="1" s="1"/>
  <c r="P483" i="1" a="1"/>
  <c r="P483" i="1"/>
  <c r="P484" i="1" a="1"/>
  <c r="P484" i="1" s="1"/>
  <c r="P485" i="1" a="1"/>
  <c r="P485" i="1"/>
  <c r="P486" i="1" a="1"/>
  <c r="P486" i="1" s="1"/>
  <c r="P487" i="1" a="1"/>
  <c r="P487" i="1"/>
  <c r="P488" i="1" a="1"/>
  <c r="P488" i="1" s="1"/>
  <c r="P489" i="1" a="1"/>
  <c r="P489" i="1"/>
  <c r="P490" i="1" a="1"/>
  <c r="P490" i="1" s="1"/>
  <c r="P491" i="1" a="1"/>
  <c r="P491" i="1"/>
  <c r="P492" i="1" a="1"/>
  <c r="P492" i="1" s="1"/>
  <c r="P493" i="1" a="1"/>
  <c r="P493" i="1"/>
  <c r="P494" i="1" a="1"/>
  <c r="P494" i="1" s="1"/>
  <c r="P495" i="1" a="1"/>
  <c r="P495" i="1"/>
  <c r="P496" i="1" a="1"/>
  <c r="P496" i="1" s="1"/>
  <c r="P497" i="1" a="1"/>
  <c r="P497" i="1"/>
  <c r="P498" i="1" a="1"/>
  <c r="P498" i="1" s="1"/>
  <c r="P499" i="1" a="1"/>
  <c r="P499" i="1"/>
  <c r="P500" i="1" a="1"/>
  <c r="P500" i="1" s="1"/>
  <c r="P501" i="1" a="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<sst xmlns="http://schemas.openxmlformats.org/spreadsheetml/2006/main" count="3583" uniqueCount="580">
  <si>
    <t>Order ID</t>
  </si>
  <si>
    <t>Region</t>
  </si>
  <si>
    <t>Salesperson</t>
  </si>
  <si>
    <t>Date of Birth</t>
  </si>
  <si>
    <t>Product Category</t>
  </si>
  <si>
    <t>Product</t>
  </si>
  <si>
    <t>Units Sold</t>
  </si>
  <si>
    <t>Unit Price</t>
  </si>
  <si>
    <t>Customer Type</t>
  </si>
  <si>
    <t>Payment Method</t>
  </si>
  <si>
    <t>ORD0001</t>
  </si>
  <si>
    <t>South</t>
  </si>
  <si>
    <t>Mary</t>
  </si>
  <si>
    <t>Electronics</t>
  </si>
  <si>
    <t>Laptop</t>
  </si>
  <si>
    <t>Corporate</t>
  </si>
  <si>
    <t>Transfer</t>
  </si>
  <si>
    <t>ORD0002</t>
  </si>
  <si>
    <t>North</t>
  </si>
  <si>
    <t>Sarah</t>
  </si>
  <si>
    <t>Office Equipment</t>
  </si>
  <si>
    <t>Printer</t>
  </si>
  <si>
    <t>Individual</t>
  </si>
  <si>
    <t>Cash</t>
  </si>
  <si>
    <t>ORD0003</t>
  </si>
  <si>
    <t>West</t>
  </si>
  <si>
    <t>Grace</t>
  </si>
  <si>
    <t>Photocopier</t>
  </si>
  <si>
    <t>ORD0004</t>
  </si>
  <si>
    <t>East</t>
  </si>
  <si>
    <t>Furniture</t>
  </si>
  <si>
    <t>Bookshelf</t>
  </si>
  <si>
    <t>ORD0005</t>
  </si>
  <si>
    <t>ORD0006</t>
  </si>
  <si>
    <t>Card</t>
  </si>
  <si>
    <t>ORD0007</t>
  </si>
  <si>
    <t>Projector</t>
  </si>
  <si>
    <t>ORD0008</t>
  </si>
  <si>
    <t>Office Chair</t>
  </si>
  <si>
    <t>ORD0009</t>
  </si>
  <si>
    <t>Tablet</t>
  </si>
  <si>
    <t>ORD0010</t>
  </si>
  <si>
    <t>Michael</t>
  </si>
  <si>
    <t>Scanner</t>
  </si>
  <si>
    <t>ORD0011</t>
  </si>
  <si>
    <t>ORD0012</t>
  </si>
  <si>
    <t>John</t>
  </si>
  <si>
    <t>Cabinet</t>
  </si>
  <si>
    <t>ORD0013</t>
  </si>
  <si>
    <t>Keyboard</t>
  </si>
  <si>
    <t>ORD0014</t>
  </si>
  <si>
    <t>ORD0015</t>
  </si>
  <si>
    <t>ORD0016</t>
  </si>
  <si>
    <t>ORD0017</t>
  </si>
  <si>
    <t>ORD0018</t>
  </si>
  <si>
    <t>Linda</t>
  </si>
  <si>
    <t>ORD0019</t>
  </si>
  <si>
    <t>Desk</t>
  </si>
  <si>
    <t>ORD0020</t>
  </si>
  <si>
    <t>Smartphone</t>
  </si>
  <si>
    <t>ORD0021</t>
  </si>
  <si>
    <t>Conference Table</t>
  </si>
  <si>
    <t>ORD0022</t>
  </si>
  <si>
    <t>Monitor</t>
  </si>
  <si>
    <t>ORD0023</t>
  </si>
  <si>
    <t>David</t>
  </si>
  <si>
    <t>Stationery</t>
  </si>
  <si>
    <t>Notebook</t>
  </si>
  <si>
    <t>ORD0024</t>
  </si>
  <si>
    <t>James</t>
  </si>
  <si>
    <t>File Folder</t>
  </si>
  <si>
    <t>ORD0025</t>
  </si>
  <si>
    <t>ORD0026</t>
  </si>
  <si>
    <t>ORD0027</t>
  </si>
  <si>
    <t>ORD0028</t>
  </si>
  <si>
    <t>ORD0029</t>
  </si>
  <si>
    <t>ORD0030</t>
  </si>
  <si>
    <t>Pen Pack</t>
  </si>
  <si>
    <t>ORD0031</t>
  </si>
  <si>
    <t>ORD0032</t>
  </si>
  <si>
    <t>ORD0033</t>
  </si>
  <si>
    <t>ORD0034</t>
  </si>
  <si>
    <t>ORD0035</t>
  </si>
  <si>
    <t>Printer Paper</t>
  </si>
  <si>
    <t>ORD0036</t>
  </si>
  <si>
    <t>ORD0037</t>
  </si>
  <si>
    <t>ORD0038</t>
  </si>
  <si>
    <t>ORD0039</t>
  </si>
  <si>
    <t>ORD0040</t>
  </si>
  <si>
    <t>ORD0041</t>
  </si>
  <si>
    <t>ORD0042</t>
  </si>
  <si>
    <t>ORD0043</t>
  </si>
  <si>
    <t>Stapler</t>
  </si>
  <si>
    <t>ORD0044</t>
  </si>
  <si>
    <t>ORD0045</t>
  </si>
  <si>
    <t>ORD0046</t>
  </si>
  <si>
    <t>ORD0047</t>
  </si>
  <si>
    <t>ORD0048</t>
  </si>
  <si>
    <t>ORD0049</t>
  </si>
  <si>
    <t>ORD0050</t>
  </si>
  <si>
    <t>ORD0051</t>
  </si>
  <si>
    <t>ORD0052</t>
  </si>
  <si>
    <t>ORD0053</t>
  </si>
  <si>
    <t>ORD0054</t>
  </si>
  <si>
    <t>Shredder</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</si>
  <si>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</si>
  <si>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</si>
  <si>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</si>
  <si>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</si>
  <si>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</si>
  <si>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</si>
  <si>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</si>
  <si>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</si>
  <si>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</si>
  <si>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</si>
  <si>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</si>
  <si>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</si>
  <si>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</si>
  <si>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</si>
  <si>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</si>
  <si>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</si>
  <si>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</si>
  <si>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</si>
  <si>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</si>
  <si>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</si>
  <si>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</si>
  <si>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</si>
  <si>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</si>
  <si>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</si>
  <si>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</si>
  <si>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</si>
  <si>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</si>
  <si>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</si>
  <si>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</si>
  <si>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</si>
  <si>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</si>
  <si>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</si>
  <si>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</si>
  <si>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</si>
  <si>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</si>
  <si>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</si>
  <si>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</si>
  <si>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</si>
  <si>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</si>
  <si>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</si>
  <si>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</si>
  <si>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</si>
  <si>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</si>
  <si>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</si>
  <si>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</si>
  <si>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</si>
  <si>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</si>
  <si>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</si>
  <si>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</si>
  <si>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</si>
  <si>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</si>
  <si>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</si>
  <si>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</si>
  <si>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</si>
  <si>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</si>
  <si>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</si>
  <si>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</si>
  <si>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</si>
  <si>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</si>
  <si>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</si>
  <si>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</si>
  <si>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</si>
  <si>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</si>
  <si>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</si>
  <si>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</si>
  <si>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</si>
  <si>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</si>
  <si>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</si>
  <si>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</si>
  <si>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</si>
  <si>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</si>
  <si>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</si>
  <si>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</si>
  <si>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</si>
  <si>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</si>
  <si>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</si>
  <si>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</si>
  <si>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</si>
  <si>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</si>
  <si>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</si>
  <si>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</si>
  <si>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</si>
  <si>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</si>
  <si>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</si>
  <si>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</si>
  <si>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</si>
  <si>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</si>
  <si>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</si>
  <si>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</si>
  <si>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</si>
  <si>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</si>
  <si>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</si>
  <si>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</si>
  <si>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</si>
  <si>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</si>
  <si>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</si>
  <si>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</si>
  <si>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</si>
  <si>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</si>
  <si>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</si>
  <si>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</si>
  <si>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</si>
  <si>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</si>
  <si>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</si>
  <si>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</si>
  <si>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</si>
  <si>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</si>
  <si>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</si>
  <si>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</si>
  <si>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</si>
  <si>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</si>
  <si>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</si>
  <si>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</si>
  <si>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</si>
  <si>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</si>
  <si>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</si>
  <si>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</si>
  <si>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</si>
  <si>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</si>
  <si>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</si>
  <si>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</si>
  <si>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</si>
  <si>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</si>
  <si>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</si>
  <si>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</si>
  <si>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</si>
  <si>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</si>
  <si>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</si>
  <si>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</si>
  <si>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</si>
  <si>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</si>
  <si>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</si>
  <si>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</si>
  <si>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</si>
  <si>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</si>
  <si>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</si>
  <si>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</si>
  <si>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</si>
  <si>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</si>
  <si>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</si>
  <si>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</si>
  <si>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</si>
  <si>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</si>
  <si>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</si>
  <si>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</si>
  <si>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</si>
  <si>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</si>
  <si>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</si>
  <si>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</si>
  <si>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</si>
  <si>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</si>
  <si>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</si>
  <si>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</si>
  <si>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</si>
  <si>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</si>
  <si>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</si>
  <si>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</si>
  <si>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</si>
  <si>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</si>
  <si>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</si>
  <si>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</si>
  <si>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</si>
  <si>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</si>
  <si>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</si>
  <si>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</si>
  <si>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</si>
  <si>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</si>
  <si>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</si>
  <si>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</si>
  <si>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</si>
  <si>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</si>
  <si>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</si>
  <si>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</si>
  <si>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</si>
  <si>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</si>
  <si>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</si>
  <si>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</si>
  <si>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</si>
  <si>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</si>
  <si>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</si>
  <si>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</si>
  <si>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</si>
  <si>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</si>
  <si>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</si>
  <si>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</si>
  <si>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</si>
  <si>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</si>
  <si>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</si>
  <si>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</si>
  <si>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</si>
  <si>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</si>
  <si>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</si>
  <si>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</si>
  <si>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</si>
  <si>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</si>
  <si>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</si>
  <si>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</si>
  <si>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</si>
  <si>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</si>
  <si>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</si>
  <si>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</si>
  <si>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</si>
  <si>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</si>
  <si>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</si>
  <si>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</si>
  <si>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</si>
  <si>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</si>
  <si>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</si>
  <si>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</si>
  <si>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</si>
  <si>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</si>
  <si>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</si>
  <si>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</si>
  <si>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</si>
  <si>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</si>
  <si>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</si>
  <si>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</si>
  <si>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</si>
  <si>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</si>
  <si>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</si>
  <si>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</si>
  <si>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</si>
  <si>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</si>
  <si>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</si>
  <si>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</si>
  <si>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</si>
  <si>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</si>
  <si>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</si>
  <si>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</si>
  <si>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</si>
  <si>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</si>
  <si>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</si>
  <si>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</si>
  <si>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</si>
  <si>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</si>
  <si>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</si>
  <si>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</si>
  <si>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</si>
  <si>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</si>
  <si>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</si>
  <si>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</si>
  <si>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</si>
  <si>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</si>
  <si>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</si>
  <si>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</si>
  <si>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</si>
  <si>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</si>
  <si>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</si>
  <si>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</si>
  <si>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</si>
  <si>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</si>
  <si>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</si>
  <si>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</si>
  <si>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</si>
  <si>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</si>
  <si>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</si>
  <si>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</si>
  <si>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</si>
  <si>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</si>
  <si>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</si>
  <si>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</si>
  <si>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</si>
  <si>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</si>
  <si>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</si>
  <si>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</si>
  <si>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</si>
  <si>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</si>
  <si>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</si>
  <si>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</si>
  <si>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</si>
  <si>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</si>
  <si>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</si>
  <si>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</si>
  <si>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</si>
  <si>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</si>
  <si>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</si>
  <si>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</si>
  <si>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</si>
  <si>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</si>
  <si>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</si>
  <si>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</si>
  <si>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</si>
  <si>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</si>
  <si>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</si>
  <si>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</si>
  <si>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</si>
  <si>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</si>
  <si>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</si>
  <si>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</si>
  <si>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</si>
  <si>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</si>
  <si>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</si>
  <si>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</si>
  <si>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</si>
  <si>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</si>
  <si>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</si>
  <si>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</si>
  <si>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</si>
  <si>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</si>
  <si>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</si>
  <si>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</si>
  <si>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</si>
  <si>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</si>
  <si>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</si>
  <si>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</si>
  <si>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</si>
  <si>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</si>
  <si>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</si>
  <si>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</si>
  <si>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</si>
  <si>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</si>
  <si>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</si>
  <si>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</si>
  <si>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</si>
  <si>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</si>
  <si>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</si>
  <si>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</si>
  <si>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</si>
  <si>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</si>
  <si>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</si>
  <si>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</si>
  <si>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</si>
  <si>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</si>
  <si>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</si>
  <si>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</si>
  <si>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</si>
  <si>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</si>
  <si>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</si>
  <si>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</si>
  <si>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</si>
  <si>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</si>
  <si>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</si>
  <si>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</si>
  <si>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</si>
  <si>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</si>
  <si>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</si>
  <si>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</si>
  <si>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</si>
  <si>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</si>
  <si>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</si>
  <si>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</si>
  <si>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</si>
  <si>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</si>
  <si>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</si>
  <si>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</si>
  <si>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</si>
  <si>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</si>
  <si>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</si>
  <si>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</si>
  <si>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</si>
  <si>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</si>
  <si>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</si>
  <si>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</si>
  <si>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</si>
  <si>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</si>
  <si>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</si>
  <si>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</si>
  <si>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</si>
  <si>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</si>
  <si>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</si>
  <si>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</si>
  <si>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</si>
  <si>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</si>
  <si>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</si>
  <si>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</si>
  <si>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</si>
  <si>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</si>
  <si>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</si>
  <si>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</si>
  <si>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</si>
  <si>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</si>
  <si>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</si>
  <si>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</si>
  <si>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</si>
  <si>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</si>
  <si>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</si>
  <si>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</si>
  <si>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</si>
  <si>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</si>
  <si>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</si>
  <si>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</si>
  <si>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</si>
  <si>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</si>
  <si>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</si>
  <si>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</si>
  <si>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</si>
  <si>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</si>
  <si>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</si>
  <si>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</si>
  <si>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</si>
  <si>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</si>
  <si>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</si>
  <si>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</si>
  <si>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</si>
  <si>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</si>
  <si>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</si>
  <si>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</si>
  <si>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</si>
  <si>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</si>
  <si>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</si>
  <si>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</si>
  <si>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</si>
  <si>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</si>
  <si>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</si>
  <si>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</si>
  <si>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</si>
  <si>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</si>
  <si>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</si>
  <si>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</si>
  <si>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</si>
  <si>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</si>
  <si>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</si>
  <si>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</si>
  <si>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</si>
  <si>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</si>
  <si>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</si>
  <si>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</si>
  <si>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</si>
  <si>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</si>
  <si>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</si>
  <si>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</si>
  <si>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</si>
  <si>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</si>
  <si>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</si>
  <si>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</si>
  <si>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</si>
  <si>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</si>
  <si>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</si>
  <si>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</si>
  <si>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</si>
  <si>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</si>
  <si>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</si>
  <si>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</si>
  <si>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</si>
  <si>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</si>
  <si>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</si>
  <si>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</si>
  <si>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</si>
  <si>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</si>
  <si>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</si>
  <si>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</si>
  <si>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</si>
  <si>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</si>
  <si>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</si>
  <si>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</si>
  <si>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</si>
  <si>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Order Date</t>
  </si>
  <si>
    <t>Order Year</t>
  </si>
  <si>
    <t>Order Month</t>
  </si>
  <si>
    <t xml:space="preserve">Age </t>
  </si>
  <si>
    <t>Age Group</t>
  </si>
  <si>
    <t>Total Revenue</t>
  </si>
  <si>
    <t>Row Labels</t>
  </si>
  <si>
    <t>Grand Total</t>
  </si>
  <si>
    <t>Sum of Total Revenue</t>
  </si>
  <si>
    <t>Count of Order ID</t>
  </si>
  <si>
    <t>Adult</t>
  </si>
  <si>
    <t>Elderly</t>
  </si>
  <si>
    <t>Senior</t>
  </si>
  <si>
    <t>Young Adult</t>
  </si>
  <si>
    <t>(All)</t>
  </si>
  <si>
    <t>January</t>
  </si>
  <si>
    <t>February</t>
  </si>
  <si>
    <t>March</t>
  </si>
  <si>
    <t>April</t>
  </si>
  <si>
    <t>May</t>
  </si>
  <si>
    <t>June</t>
  </si>
  <si>
    <t>July</t>
  </si>
  <si>
    <t>August</t>
  </si>
  <si>
    <t>September</t>
  </si>
  <si>
    <t>October</t>
  </si>
  <si>
    <t>November</t>
  </si>
  <si>
    <t>December</t>
  </si>
  <si>
    <t>Sum of Units Sold</t>
  </si>
  <si>
    <t xml:space="preserve">Average of 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</si>
</sst>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
    <xf numFmtId="0" fontId="0" fillId="0" borderId="0" xfId="0"/>
    <xf numFmtId="14"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11.xlsx]Pivot!PivotTable1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100">
                <a:solidFill>
                  <a:srgbClr val="FFFF00"/>
                </a:solidFill>
                <a:latin typeface="Garamond" panose="02020404030301010803" pitchFamily="18" charset="0"/>
              </a:rPr>
              <a:t>Product Category By Total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pivotFmt>
    </c:pivotFmts>
    <c:plotArea>
      <c:layout/>
      <c:barChart>
        <c:barDir val="col"/>
        <c:grouping val="clustered"/>
        <c:varyColors val="0"/>
        <c:ser>
          <c:idx val="0"/>
          <c:order val="0"/>
          <c:tx>
            <c:strRef>
              <c:f>Pivot!$B$3</c:f>
              <c:strCache>
                <c:ptCount val="1"/>
                <c:pt idx="0">
                  <c:v>Total</c:v>
                </c:pt>
              </c:strCache>
            </c:strRef>
          </c:tx>
          <c:spPr>
            <a:solidFill>
              <a:schemeClr val="bg1">
                <a:lumMod val="85000"/>
              </a:schemeClr>
            </a:solidFill>
            <a:ln>
              <a:noFill/>
            </a:ln>
            <a:effectLst/>
          </c:spPr>
          <c:invertIfNegative val="0"/>
          <c:dLbls>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Electronics</c:v>
                </c:pt>
                <c:pt idx="1">
                  <c:v>Furniture</c:v>
                </c:pt>
                <c:pt idx="2">
                  <c:v>Office Equipment</c:v>
                </c:pt>
                <c:pt idx="3">
                  <c:v>Stationery</c:v>
                </c:pt>
              </c:strCache>
            </c:strRef>
          </c:cat>
          <c:val>
            <c:numRef>
              <c:f>Pivot!$B$4:$B$8</c:f>
              <c:numCache>
                <c:formatCode>"$"#,##0</c:formatCode>
                <c:ptCount val="4"/>
                <c:pt idx="0">
                  <c:v>1924685</c:v>
                </c:pt>
                <c:pt idx="1">
                  <c:v>1393694</c:v>
                </c:pt>
                <c:pt idx="2">
                  <c:v>2571800</c:v>
                </c:pt>
                <c:pt idx="3">
                  <c:v>92987</c:v>
                </c:pt>
              </c:numCache>
            </c:numRef>
          </c:val>
          <c:extLst>
            <c:ext xmlns:c16="http://schemas.microsoft.com/office/drawing/2014/chart" uri="{C3380CC4-5D6E-409C-BE32-E72D297353CC}">
              <c16:uniqueId val="{00000000-4D6D-4F0E-8ACC-9D19F53488FF}"/>
            </c:ext>
          </c:extLst>
        </c:ser>
        <c:dLbls>
          <c:showLegendKey val="0"/>
          <c:showVal val="0"/>
          <c:showCatName val="0"/>
          <c:showSerName val="0"/>
          <c:showPercent val="0"/>
          <c:showBubbleSize val="0"/>
        </c:dLbls>
        <c:gapWidth val="219"/>
        <c:overlap val="-27"/>
        <c:axId val="1021267023"/>
        <c:axId val="1021284303"/>
      </c:barChart>
      <c:catAx>
        <c:axId val="102126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1284303"/>
        <c:crosses val="autoZero"/>
        <c:auto val="1"/>
        <c:lblAlgn val="ctr"/>
        <c:lblOffset val="100"/>
        <c:noMultiLvlLbl val="0"/>
      </c:catAx>
      <c:valAx>
        <c:axId val="1021284303"/>
        <c:scaling>
          <c:orientation val="minMax"/>
        </c:scaling>
        <c:delete val="1"/>
        <c:axPos val="l"/>
        <c:numFmt formatCode="&quot;$&quot;#,##0" sourceLinked="1"/>
        <c:majorTickMark val="none"/>
        <c:minorTickMark val="none"/>
        <c:tickLblPos val="nextTo"/>
        <c:crossAx val="102126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11.xlsx]Pivot!PivotTable9</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100">
                <a:solidFill>
                  <a:srgbClr val="FFFF00"/>
                </a:solidFill>
                <a:latin typeface="Garamond" panose="02020404030301010803" pitchFamily="18" charset="0"/>
              </a:rPr>
              <a:t>Monthly</a:t>
            </a:r>
            <a:r>
              <a:rPr lang="en-US" sz="1100" baseline="0">
                <a:solidFill>
                  <a:srgbClr val="FFFF00"/>
                </a:solidFill>
                <a:latin typeface="Garamond" panose="02020404030301010803" pitchFamily="18" charset="0"/>
              </a:rPr>
              <a:t>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Pivot!$B$14</c:f>
              <c:strCache>
                <c:ptCount val="1"/>
                <c:pt idx="0">
                  <c:v>Total</c:v>
                </c:pt>
              </c:strCache>
            </c:strRef>
          </c:tx>
          <c:spPr>
            <a:ln w="28575" cap="rnd">
              <a:solidFill>
                <a:schemeClr val="bg1">
                  <a:lumMod val="85000"/>
                </a:schemeClr>
              </a:solidFill>
              <a:round/>
            </a:ln>
            <a:effectLst/>
          </c:spPr>
          <c:marker>
            <c:symbol val="none"/>
          </c:marker>
          <c:dLbls>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Pivot!$B$15:$B$27</c:f>
              <c:numCache>
                <c:formatCode>"$"#,##0</c:formatCode>
                <c:ptCount val="12"/>
                <c:pt idx="0">
                  <c:v>466039</c:v>
                </c:pt>
                <c:pt idx="1">
                  <c:v>522536</c:v>
                </c:pt>
                <c:pt idx="2">
                  <c:v>518117</c:v>
                </c:pt>
                <c:pt idx="3">
                  <c:v>411141</c:v>
                </c:pt>
                <c:pt idx="4">
                  <c:v>543134</c:v>
                </c:pt>
                <c:pt idx="5">
                  <c:v>563767</c:v>
                </c:pt>
                <c:pt idx="6">
                  <c:v>263029</c:v>
                </c:pt>
                <c:pt idx="7">
                  <c:v>579790</c:v>
                </c:pt>
                <c:pt idx="8">
                  <c:v>591837</c:v>
                </c:pt>
                <c:pt idx="9">
                  <c:v>547007</c:v>
                </c:pt>
                <c:pt idx="10">
                  <c:v>502784</c:v>
                </c:pt>
                <c:pt idx="11">
                  <c:v>473985</c:v>
                </c:pt>
              </c:numCache>
            </c:numRef>
          </c:val>
          <c:smooth val="0"/>
          <c:extLst>
            <c:ext xmlns:c16="http://schemas.microsoft.com/office/drawing/2014/chart" uri="{C3380CC4-5D6E-409C-BE32-E72D297353CC}">
              <c16:uniqueId val="{00000000-312D-4B89-ADDD-41C07BFCFDC3}"/>
            </c:ext>
          </c:extLst>
        </c:ser>
        <c:dLbls>
          <c:dLblPos val="t"/>
          <c:showLegendKey val="0"/>
          <c:showVal val="1"/>
          <c:showCatName val="0"/>
          <c:showSerName val="0"/>
          <c:showPercent val="0"/>
          <c:showBubbleSize val="0"/>
        </c:dLbls>
        <c:smooth val="0"/>
        <c:axId val="1021307823"/>
        <c:axId val="1021311663"/>
      </c:lineChart>
      <c:catAx>
        <c:axId val="102130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21311663"/>
        <c:crosses val="autoZero"/>
        <c:auto val="1"/>
        <c:lblAlgn val="ctr"/>
        <c:lblOffset val="100"/>
        <c:noMultiLvlLbl val="0"/>
      </c:catAx>
      <c:valAx>
        <c:axId val="1021311663"/>
        <c:scaling>
          <c:orientation val="minMax"/>
        </c:scaling>
        <c:delete val="1"/>
        <c:axPos val="l"/>
        <c:numFmt formatCode="&quot;$&quot;#,##0" sourceLinked="1"/>
        <c:majorTickMark val="none"/>
        <c:minorTickMark val="none"/>
        <c:tickLblPos val="nextTo"/>
        <c:crossAx val="102130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11.xlsx]Pivot!PivotTable2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baseline="0">
                <a:solidFill>
                  <a:srgbClr val="FFFF00"/>
                </a:solidFill>
                <a:latin typeface="Garamond" panose="02020404030301010803" pitchFamily="18" charset="0"/>
              </a:rPr>
              <a:t>Region By Revenue</a:t>
            </a:r>
            <a:endParaRPr lang="en-US">
              <a:solidFill>
                <a:srgbClr val="FFFF00"/>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bg1">
                <a:lumMod val="85000"/>
              </a:schemeClr>
            </a:solidFill>
            <a:ln>
              <a:noFill/>
            </a:ln>
            <a:effectLst/>
          </c:spPr>
          <c:invertIfNegative val="0"/>
          <c:dLbls>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East</c:v>
                </c:pt>
                <c:pt idx="1">
                  <c:v>North</c:v>
                </c:pt>
                <c:pt idx="2">
                  <c:v>South</c:v>
                </c:pt>
                <c:pt idx="3">
                  <c:v>West</c:v>
                </c:pt>
              </c:strCache>
            </c:strRef>
          </c:cat>
          <c:val>
            <c:numRef>
              <c:f>Pivot!$E$4:$E$8</c:f>
              <c:numCache>
                <c:formatCode>"$"#,##0</c:formatCode>
                <c:ptCount val="4"/>
                <c:pt idx="0">
                  <c:v>1158530</c:v>
                </c:pt>
                <c:pt idx="1">
                  <c:v>1906309</c:v>
                </c:pt>
                <c:pt idx="2">
                  <c:v>1439420</c:v>
                </c:pt>
                <c:pt idx="3">
                  <c:v>1478907</c:v>
                </c:pt>
              </c:numCache>
            </c:numRef>
          </c:val>
          <c:extLst>
            <c:ext xmlns:c16="http://schemas.microsoft.com/office/drawing/2014/chart" uri="{C3380CC4-5D6E-409C-BE32-E72D297353CC}">
              <c16:uniqueId val="{00000000-171E-4C44-8649-760C8630254F}"/>
            </c:ext>
          </c:extLst>
        </c:ser>
        <c:dLbls>
          <c:dLblPos val="outEnd"/>
          <c:showLegendKey val="0"/>
          <c:showVal val="1"/>
          <c:showCatName val="0"/>
          <c:showSerName val="0"/>
          <c:showPercent val="0"/>
          <c:showBubbleSize val="0"/>
        </c:dLbls>
        <c:gapWidth val="182"/>
        <c:axId val="1154664799"/>
        <c:axId val="1154688799"/>
      </c:barChart>
      <c:catAx>
        <c:axId val="115466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54688799"/>
        <c:crosses val="autoZero"/>
        <c:auto val="1"/>
        <c:lblAlgn val="ctr"/>
        <c:lblOffset val="100"/>
        <c:noMultiLvlLbl val="0"/>
      </c:catAx>
      <c:valAx>
        <c:axId val="1154688799"/>
        <c:scaling>
          <c:orientation val="minMax"/>
        </c:scaling>
        <c:delete val="1"/>
        <c:axPos val="b"/>
        <c:numFmt formatCode="&quot;$&quot;#,##0" sourceLinked="1"/>
        <c:majorTickMark val="none"/>
        <c:minorTickMark val="none"/>
        <c:tickLblPos val="nextTo"/>
        <c:crossAx val="115466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11.xlsx]Pivot!PivotTable7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a:solidFill>
                  <a:srgbClr val="FFFF00"/>
                </a:solidFill>
                <a:latin typeface="Garamond" panose="02020404030301010803" pitchFamily="18" charset="0"/>
              </a:rPr>
              <a:t>Top</a:t>
            </a:r>
            <a:r>
              <a:rPr lang="en-US" sz="1050" baseline="0">
                <a:solidFill>
                  <a:srgbClr val="FFFF00"/>
                </a:solidFill>
                <a:latin typeface="Garamond" panose="02020404030301010803" pitchFamily="18" charset="0"/>
              </a:rPr>
              <a:t> 5 Products By Revenue</a:t>
            </a:r>
            <a:endParaRPr lang="en-US">
              <a:solidFill>
                <a:srgbClr val="FFFF00"/>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Pivot!$F$10</c:f>
              <c:strCache>
                <c:ptCount val="1"/>
                <c:pt idx="0">
                  <c:v>Total</c:v>
                </c:pt>
              </c:strCache>
            </c:strRef>
          </c:tx>
          <c:spPr>
            <a:solidFill>
              <a:schemeClr val="bg1">
                <a:lumMod val="85000"/>
              </a:schemeClr>
            </a:solidFill>
            <a:ln>
              <a:noFill/>
            </a:ln>
            <a:effectLst/>
          </c:spPr>
          <c:invertIfNegative val="0"/>
          <c:dLbls>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Pivot!$E$11:$E$16</c:f>
              <c:strCache>
                <c:ptCount val="5"/>
                <c:pt idx="0">
                  <c:v>Monitor</c:v>
                </c:pt>
                <c:pt idx="1">
                  <c:v>Photocopier</c:v>
                </c:pt>
                <c:pt idx="2">
                  <c:v>Projector</c:v>
                </c:pt>
                <c:pt idx="3">
                  <c:v>Scanner</c:v>
                </c:pt>
                <c:pt idx="4">
                  <c:v>Shredder</c:v>
                </c:pt>
              </c:strCache>
            </c:strRef>
          </c:cat>
          <c:val>
            <c:numRef>
              <c:f>Pivot!$F$11:$F$16</c:f>
              <c:numCache>
                <c:formatCode>"$"#,##0</c:formatCode>
                <c:ptCount val="5"/>
                <c:pt idx="0">
                  <c:v>464303</c:v>
                </c:pt>
                <c:pt idx="1">
                  <c:v>586721</c:v>
                </c:pt>
                <c:pt idx="2">
                  <c:v>490550</c:v>
                </c:pt>
                <c:pt idx="3">
                  <c:v>489368</c:v>
                </c:pt>
                <c:pt idx="4">
                  <c:v>541828</c:v>
                </c:pt>
              </c:numCache>
            </c:numRef>
          </c:val>
          <c:extLst>
            <c:ext xmlns:c16="http://schemas.microsoft.com/office/drawing/2014/chart" uri="{C3380CC4-5D6E-409C-BE32-E72D297353CC}">
              <c16:uniqueId val="{00000000-9587-486D-A810-C5499E6EB5DC}"/>
            </c:ext>
          </c:extLst>
        </c:ser>
        <c:dLbls>
          <c:dLblPos val="outEnd"/>
          <c:showLegendKey val="0"/>
          <c:showVal val="1"/>
          <c:showCatName val="0"/>
          <c:showSerName val="0"/>
          <c:showPercent val="0"/>
          <c:showBubbleSize val="0"/>
        </c:dLbls>
        <c:gapWidth val="219"/>
        <c:overlap val="-27"/>
        <c:axId val="1154676799"/>
        <c:axId val="1154678239"/>
      </c:barChart>
      <c:catAx>
        <c:axId val="115467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54678239"/>
        <c:crosses val="autoZero"/>
        <c:auto val="1"/>
        <c:lblAlgn val="ctr"/>
        <c:lblOffset val="100"/>
        <c:noMultiLvlLbl val="0"/>
      </c:catAx>
      <c:valAx>
        <c:axId val="1154678239"/>
        <c:scaling>
          <c:orientation val="minMax"/>
        </c:scaling>
        <c:delete val="1"/>
        <c:axPos val="l"/>
        <c:numFmt formatCode="&quot;$&quot;#,##0" sourceLinked="1"/>
        <c:majorTickMark val="none"/>
        <c:minorTickMark val="none"/>
        <c:tickLblPos val="nextTo"/>
        <c:crossAx val="115467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11.xlsx]Pivot!PivotTable8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a:solidFill>
                  <a:srgbClr val="FFFF00"/>
                </a:solidFill>
                <a:latin typeface="Garamond" panose="02020404030301010803" pitchFamily="18" charset="0"/>
              </a:rPr>
              <a:t>Top</a:t>
            </a:r>
            <a:r>
              <a:rPr lang="en-US" sz="1050" baseline="0">
                <a:solidFill>
                  <a:srgbClr val="FFFF00"/>
                </a:solidFill>
                <a:latin typeface="Garamond" panose="02020404030301010803" pitchFamily="18" charset="0"/>
              </a:rPr>
              <a:t> 3 Salesperson Performance</a:t>
            </a:r>
            <a:endParaRPr lang="en-US">
              <a:solidFill>
                <a:srgbClr val="FFFF00"/>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19050">
            <a:solidFill>
              <a:schemeClr val="lt1"/>
            </a:solidFill>
          </a:ln>
          <a:effectLst/>
        </c:spPr>
        <c:dLbl>
          <c:idx val="0"/>
          <c:layout>
            <c:manualLayout>
              <c:x val="-3.7706692913385825E-2"/>
              <c:y val="-8.0888594980314962E-2"/>
            </c:manualLayout>
          </c:layout>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48440737670949"/>
              <c:y val="-9.7456323818897642E-2"/>
            </c:manualLayout>
          </c:layout>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1587926509186351E-2"/>
              <c:y val="-8.1185921095800528E-2"/>
            </c:manualLayout>
          </c:layout>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Pivot!$I$10</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A055-4788-92BE-8387BDC6CE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55-4788-92BE-8387BDC6CE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55-4788-92BE-8387BDC6CEE5}"/>
              </c:ext>
            </c:extLst>
          </c:dPt>
          <c:dLbls>
            <c:dLbl>
              <c:idx val="0"/>
              <c:layout>
                <c:manualLayout>
                  <c:x val="-3.7706692913385825E-2"/>
                  <c:y val="-8.08885949803149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55-4788-92BE-8387BDC6CEE5}"/>
                </c:ext>
              </c:extLst>
            </c:dLbl>
            <c:dLbl>
              <c:idx val="1"/>
              <c:layout>
                <c:manualLayout>
                  <c:x val="-0.1648440737670949"/>
                  <c:y val="-9.74563238188976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55-4788-92BE-8387BDC6CEE5}"/>
                </c:ext>
              </c:extLst>
            </c:dLbl>
            <c:dLbl>
              <c:idx val="2"/>
              <c:layout>
                <c:manualLayout>
                  <c:x val="1.1587926509186351E-2"/>
                  <c:y val="-8.118592109580052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55-4788-92BE-8387BDC6CEE5}"/>
                </c:ext>
              </c:extLst>
            </c:dLbl>
            <c:numFmt formatCode="&quot;$&quot;0.0,&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Pivot!$H$11:$H$14</c:f>
              <c:strCache>
                <c:ptCount val="3"/>
                <c:pt idx="0">
                  <c:v>Grace</c:v>
                </c:pt>
                <c:pt idx="1">
                  <c:v>Mary</c:v>
                </c:pt>
                <c:pt idx="2">
                  <c:v>Michael</c:v>
                </c:pt>
              </c:strCache>
            </c:strRef>
          </c:cat>
          <c:val>
            <c:numRef>
              <c:f>Pivot!$I$11:$I$14</c:f>
              <c:numCache>
                <c:formatCode>"$"#,##0</c:formatCode>
                <c:ptCount val="3"/>
                <c:pt idx="0">
                  <c:v>874835</c:v>
                </c:pt>
                <c:pt idx="1">
                  <c:v>789103</c:v>
                </c:pt>
                <c:pt idx="2">
                  <c:v>819317</c:v>
                </c:pt>
              </c:numCache>
            </c:numRef>
          </c:val>
          <c:extLst>
            <c:ext xmlns:c16="http://schemas.microsoft.com/office/drawing/2014/chart" uri="{C3380CC4-5D6E-409C-BE32-E72D297353CC}">
              <c16:uniqueId val="{00000006-A055-4788-92BE-8387BDC6CE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11.xlsx]Pivot!PivotTable3</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a:solidFill>
                  <a:srgbClr val="FFFF00"/>
                </a:solidFill>
                <a:latin typeface="Garamond" panose="02020404030301010803" pitchFamily="18" charset="0"/>
              </a:rPr>
              <a:t>Age</a:t>
            </a:r>
            <a:r>
              <a:rPr lang="en-US" sz="1050" baseline="0">
                <a:solidFill>
                  <a:srgbClr val="FFFF00"/>
                </a:solidFill>
                <a:latin typeface="Garamond" panose="02020404030301010803" pitchFamily="18" charset="0"/>
              </a:rPr>
              <a:t> group By Revenue</a:t>
            </a:r>
            <a:endParaRPr lang="en-US">
              <a:solidFill>
                <a:srgbClr val="FFFF00"/>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9050">
            <a:solidFill>
              <a:schemeClr val="lt1"/>
            </a:solidFill>
          </a:ln>
          <a:effectLst/>
        </c:spPr>
        <c:dLbl>
          <c:idx val="0"/>
          <c:layout>
            <c:manualLayout>
              <c:x val="-4.061850469558357E-2"/>
              <c:y val="-0.15493766404199474"/>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1977113771183225E-2"/>
              <c:y val="-4.5620078740157478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3908713000470318E-2"/>
              <c:y val="1.775578833895763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Pivot!$H$3</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AFFA-45BD-8C37-07FBFBC7F7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FA-45BD-8C37-07FBFBC7F7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FA-45BD-8C37-07FBFBC7F7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FA-45BD-8C37-07FBFBC7F7FA}"/>
              </c:ext>
            </c:extLst>
          </c:dPt>
          <c:dLbls>
            <c:dLbl>
              <c:idx val="0"/>
              <c:layout>
                <c:manualLayout>
                  <c:x val="-4.061850469558357E-2"/>
                  <c:y val="-0.1549376640419947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FA-45BD-8C37-07FBFBC7F7FA}"/>
                </c:ext>
              </c:extLst>
            </c:dLbl>
            <c:dLbl>
              <c:idx val="1"/>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AFFA-45BD-8C37-07FBFBC7F7FA}"/>
                </c:ext>
              </c:extLst>
            </c:dLbl>
            <c:dLbl>
              <c:idx val="2"/>
              <c:layout>
                <c:manualLayout>
                  <c:x val="-4.1977113771183225E-2"/>
                  <c:y val="-4.562007874015747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FA-45BD-8C37-07FBFBC7F7FA}"/>
                </c:ext>
              </c:extLst>
            </c:dLbl>
            <c:dLbl>
              <c:idx val="3"/>
              <c:layout>
                <c:manualLayout>
                  <c:x val="-3.3908713000470318E-2"/>
                  <c:y val="1.77557883389576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FA-45BD-8C37-07FBFBC7F7FA}"/>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Pivot!$G$4:$G$8</c:f>
              <c:strCache>
                <c:ptCount val="4"/>
                <c:pt idx="0">
                  <c:v>Adult</c:v>
                </c:pt>
                <c:pt idx="1">
                  <c:v>Elderly</c:v>
                </c:pt>
                <c:pt idx="2">
                  <c:v>Senior</c:v>
                </c:pt>
                <c:pt idx="3">
                  <c:v>Young Adult</c:v>
                </c:pt>
              </c:strCache>
            </c:strRef>
          </c:cat>
          <c:val>
            <c:numRef>
              <c:f>Pivot!$H$4:$H$8</c:f>
              <c:numCache>
                <c:formatCode>"$"#,##0</c:formatCode>
                <c:ptCount val="4"/>
                <c:pt idx="0">
                  <c:v>2285773</c:v>
                </c:pt>
                <c:pt idx="1">
                  <c:v>62086</c:v>
                </c:pt>
                <c:pt idx="2">
                  <c:v>2337870</c:v>
                </c:pt>
                <c:pt idx="3">
                  <c:v>1297437</c:v>
                </c:pt>
              </c:numCache>
            </c:numRef>
          </c:val>
          <c:extLst>
            <c:ext xmlns:c16="http://schemas.microsoft.com/office/drawing/2014/chart" uri="{C3380CC4-5D6E-409C-BE32-E72D297353CC}">
              <c16:uniqueId val="{00000008-AFFA-45BD-8C37-07FBFBC7F7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11.xlsx]Pivot!PivotTable4</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a:solidFill>
                  <a:srgbClr val="FFFF00"/>
                </a:solidFill>
                <a:latin typeface="Garamond" panose="02020404030301010803" pitchFamily="18" charset="0"/>
              </a:rPr>
              <a:t>Payment</a:t>
            </a:r>
            <a:r>
              <a:rPr lang="en-US" sz="1050" baseline="0">
                <a:solidFill>
                  <a:srgbClr val="FFFF00"/>
                </a:solidFill>
                <a:latin typeface="Garamond" panose="02020404030301010803" pitchFamily="18" charset="0"/>
              </a:rPr>
              <a:t> method By Revenue</a:t>
            </a:r>
            <a:endParaRPr lang="en-US" sz="1050">
              <a:solidFill>
                <a:srgbClr val="FFFF00"/>
              </a:solidFill>
              <a:latin typeface="Garamond" panose="02020404030301010803" pitchFamily="18" charset="0"/>
            </a:endParaRPr>
          </a:p>
        </c:rich>
      </c:tx>
      <c:layout>
        <c:manualLayout>
          <c:xMode val="edge"/>
          <c:yMode val="edge"/>
          <c:x val="0.17006802721088435"/>
          <c:y val="0.1728533933258342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bg1">
                <a:lumMod val="85000"/>
              </a:schemeClr>
            </a:solidFill>
            <a:ln>
              <a:noFill/>
            </a:ln>
            <a:effectLst/>
          </c:spPr>
          <c:invertIfNegative val="0"/>
          <c:dLbls>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Pivot!$J$4:$J$7</c:f>
              <c:strCache>
                <c:ptCount val="3"/>
                <c:pt idx="0">
                  <c:v>Card</c:v>
                </c:pt>
                <c:pt idx="1">
                  <c:v>Cash</c:v>
                </c:pt>
                <c:pt idx="2">
                  <c:v>Transfer</c:v>
                </c:pt>
              </c:strCache>
            </c:strRef>
          </c:cat>
          <c:val>
            <c:numRef>
              <c:f>Pivot!$K$4:$K$7</c:f>
              <c:numCache>
                <c:formatCode>"$"#,##0</c:formatCode>
                <c:ptCount val="3"/>
                <c:pt idx="0">
                  <c:v>2249344</c:v>
                </c:pt>
                <c:pt idx="1">
                  <c:v>1577093</c:v>
                </c:pt>
                <c:pt idx="2">
                  <c:v>2156729</c:v>
                </c:pt>
              </c:numCache>
            </c:numRef>
          </c:val>
          <c:extLst>
            <c:ext xmlns:c16="http://schemas.microsoft.com/office/drawing/2014/chart" uri="{C3380CC4-5D6E-409C-BE32-E72D297353CC}">
              <c16:uniqueId val="{00000000-82FC-41ED-9858-D1D4F93FCB08}"/>
            </c:ext>
          </c:extLst>
        </c:ser>
        <c:dLbls>
          <c:dLblPos val="outEnd"/>
          <c:showLegendKey val="0"/>
          <c:showVal val="1"/>
          <c:showCatName val="0"/>
          <c:showSerName val="0"/>
          <c:showPercent val="0"/>
          <c:showBubbleSize val="0"/>
        </c:dLbls>
        <c:gapWidth val="219"/>
        <c:overlap val="-27"/>
        <c:axId val="1275058352"/>
        <c:axId val="1275062192"/>
      </c:barChart>
      <c:catAx>
        <c:axId val="1275058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5062192"/>
        <c:crosses val="autoZero"/>
        <c:auto val="1"/>
        <c:lblAlgn val="ctr"/>
        <c:lblOffset val="100"/>
        <c:noMultiLvlLbl val="0"/>
      </c:catAx>
      <c:valAx>
        <c:axId val="1275062192"/>
        <c:scaling>
          <c:orientation val="minMax"/>
        </c:scaling>
        <c:delete val="1"/>
        <c:axPos val="l"/>
        <c:numFmt formatCode="&quot;$&quot;#,##0" sourceLinked="1"/>
        <c:majorTickMark val="none"/>
        <c:minorTickMark val="none"/>
        <c:tickLblPos val="nextTo"/>
        <c:crossAx val="127505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11.xlsx]Pivot!PivotTable10</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a:solidFill>
                  <a:srgbClr val="FFFF00"/>
                </a:solidFill>
                <a:latin typeface="Garamond" panose="02020404030301010803" pitchFamily="18" charset="0"/>
              </a:rPr>
              <a:t>Customer</a:t>
            </a:r>
            <a:r>
              <a:rPr lang="en-US" sz="1050" baseline="0">
                <a:solidFill>
                  <a:srgbClr val="FFFF00"/>
                </a:solidFill>
                <a:latin typeface="Garamond" panose="02020404030301010803" pitchFamily="18" charset="0"/>
              </a:rPr>
              <a:t> Type Analysis</a:t>
            </a:r>
            <a:endParaRPr lang="en-US">
              <a:solidFill>
                <a:srgbClr val="FFFF00"/>
              </a:solidFill>
              <a:latin typeface="Garamond" panose="02020404030301010803" pitchFamily="18" charset="0"/>
            </a:endParaRPr>
          </a:p>
        </c:rich>
      </c:tx>
      <c:layout>
        <c:manualLayout>
          <c:xMode val="edge"/>
          <c:yMode val="edge"/>
          <c:x val="0.31034178578917299"/>
          <c:y val="6.896551724137930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dLbl>
          <c:idx val="0"/>
          <c:layout>
            <c:manualLayout>
              <c:x val="9.1827364554637275E-2"/>
              <c:y val="-1.0536276751464822E-16"/>
            </c:manualLayout>
          </c:layout>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3461891643709823E-2"/>
              <c:y val="-2.2988505747126436E-2"/>
            </c:manualLayout>
          </c:layout>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Pivot!$E$19</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CA46-47DA-8B18-EC611291A6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46-47DA-8B18-EC611291A66C}"/>
              </c:ext>
            </c:extLst>
          </c:dPt>
          <c:dLbls>
            <c:dLbl>
              <c:idx val="0"/>
              <c:layout>
                <c:manualLayout>
                  <c:x val="9.1827364554637275E-2"/>
                  <c:y val="-1.0536276751464822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46-47DA-8B18-EC611291A66C}"/>
                </c:ext>
              </c:extLst>
            </c:dLbl>
            <c:dLbl>
              <c:idx val="1"/>
              <c:layout>
                <c:manualLayout>
                  <c:x val="-7.3461891643709823E-2"/>
                  <c:y val="-2.2988505747126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46-47DA-8B18-EC611291A66C}"/>
                </c:ext>
              </c:extLst>
            </c:dLbl>
            <c:numFmt formatCode="&quot;$&quot;0.0,,&quot;M&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Pivot!$D$20:$D$22</c:f>
              <c:strCache>
                <c:ptCount val="2"/>
                <c:pt idx="0">
                  <c:v>Corporate</c:v>
                </c:pt>
                <c:pt idx="1">
                  <c:v>Individual</c:v>
                </c:pt>
              </c:strCache>
            </c:strRef>
          </c:cat>
          <c:val>
            <c:numRef>
              <c:f>Pivot!$E$20:$E$22</c:f>
              <c:numCache>
                <c:formatCode>"$"#,##0</c:formatCode>
                <c:ptCount val="2"/>
                <c:pt idx="0">
                  <c:v>3301852</c:v>
                </c:pt>
                <c:pt idx="1">
                  <c:v>2681314</c:v>
                </c:pt>
              </c:numCache>
            </c:numRef>
          </c:val>
          <c:extLst>
            <c:ext xmlns:c16="http://schemas.microsoft.com/office/drawing/2014/chart" uri="{C3380CC4-5D6E-409C-BE32-E72D297353CC}">
              <c16:uniqueId val="{00000004-CA46-47DA-8B18-EC611291A66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18" Type="http://schemas.openxmlformats.org/officeDocument/2006/relationships/image" Target="../media/image10.png"/><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image" Target="../media/image6.png"/><Relationship Id="rId12" Type="http://schemas.openxmlformats.org/officeDocument/2006/relationships/chart" Target="../charts/chart5.xml"/><Relationship Id="rId17"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chart" Target="../charts/chart3.xml"/><Relationship Id="rId19" Type="http://schemas.openxmlformats.org/officeDocument/2006/relationships/image" Target="../media/image11.png"/><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60960</xdr:rowOff>
    </xdr:from>
    <xdr:to>
      <xdr:col>8</xdr:col>
      <xdr:colOff>579120</xdr:colOff>
      <xdr:row>2</xdr:row>
      <xdr:rowOff>53340</xdr:rowOff>
    </xdr:to>
    <xdr:sp macro="" textlink="">
      <xdr:nvSpPr>
        <xdr:cNvPr id="2" name="Rectangle: Rounded Corners 1">
          <a:extLst>
            <a:ext uri="{FF2B5EF4-FFF2-40B4-BE49-F238E27FC236}">
              <a16:creationId xmlns:a16="http://schemas.microsoft.com/office/drawing/2014/main" id="{7E7D8E1A-F601-CA1E-D956-2C78E9B603EB}"/>
            </a:ext>
          </a:extLst>
        </xdr:cNvPr>
        <xdr:cNvSpPr/>
      </xdr:nvSpPr>
      <xdr:spPr>
        <a:xfrm>
          <a:off x="152400" y="60960"/>
          <a:ext cx="5303520" cy="35814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2</xdr:row>
      <xdr:rowOff>83820</xdr:rowOff>
    </xdr:from>
    <xdr:to>
      <xdr:col>2</xdr:col>
      <xdr:colOff>464820</xdr:colOff>
      <xdr:row>5</xdr:row>
      <xdr:rowOff>152400</xdr:rowOff>
    </xdr:to>
    <xdr:sp macro="" textlink="Pivot!$C$12">
      <xdr:nvSpPr>
        <xdr:cNvPr id="3" name="Rectangle: Rounded Corners 2">
          <a:extLst>
            <a:ext uri="{FF2B5EF4-FFF2-40B4-BE49-F238E27FC236}">
              <a16:creationId xmlns:a16="http://schemas.microsoft.com/office/drawing/2014/main" id="{813D9CE3-2AB3-48ED-AC04-7FFD0D7BF5DC}"/>
            </a:ext>
          </a:extLst>
        </xdr:cNvPr>
        <xdr:cNvSpPr/>
      </xdr:nvSpPr>
      <xdr:spPr>
        <a:xfrm>
          <a:off x="144780" y="449580"/>
          <a:ext cx="1539240" cy="61722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FFFF00"/>
              </a:solidFill>
              <a:latin typeface="Garamond" panose="02020404030301010803" pitchFamily="18" charset="0"/>
            </a:rPr>
            <a:t>Total</a:t>
          </a:r>
          <a:r>
            <a:rPr lang="en-US" sz="1200" b="1" i="0" u="none" strike="noStrike" baseline="0">
              <a:solidFill>
                <a:srgbClr val="FFFF00"/>
              </a:solidFill>
              <a:latin typeface="Garamond" panose="02020404030301010803" pitchFamily="18" charset="0"/>
            </a:rPr>
            <a:t> Revenue</a:t>
          </a:r>
          <a:endParaRPr lang="en-US" sz="1200" b="1" i="0" u="none" strike="noStrike">
            <a:solidFill>
              <a:srgbClr val="FFFF00"/>
            </a:solidFill>
            <a:latin typeface="Garamond" panose="02020404030301010803" pitchFamily="18" charset="0"/>
          </a:endParaRPr>
        </a:p>
        <a:p>
          <a:pPr algn="ctr"/>
          <a:fld id="{F795BDDB-6718-44E1-89B5-E4940C4682A8}" type="TxLink">
            <a:rPr lang="en-US" sz="1100" b="1" i="0" u="none" strike="noStrike">
              <a:solidFill>
                <a:schemeClr val="bg1"/>
              </a:solidFill>
              <a:latin typeface="Garamond" panose="02020404030301010803" pitchFamily="18" charset="0"/>
            </a:rPr>
            <a:pPr algn="ctr"/>
            <a:t>$5,983,166</a:t>
          </a:fld>
          <a:endParaRPr lang="en-US" sz="1100" b="1">
            <a:solidFill>
              <a:schemeClr val="bg1"/>
            </a:solidFill>
            <a:latin typeface="Garamond" panose="02020404030301010803" pitchFamily="18" charset="0"/>
          </a:endParaRPr>
        </a:p>
      </xdr:txBody>
    </xdr:sp>
    <xdr:clientData/>
  </xdr:twoCellAnchor>
  <xdr:twoCellAnchor>
    <xdr:from>
      <xdr:col>2</xdr:col>
      <xdr:colOff>510540</xdr:colOff>
      <xdr:row>2</xdr:row>
      <xdr:rowOff>91440</xdr:rowOff>
    </xdr:from>
    <xdr:to>
      <xdr:col>5</xdr:col>
      <xdr:colOff>259080</xdr:colOff>
      <xdr:row>5</xdr:row>
      <xdr:rowOff>152400</xdr:rowOff>
    </xdr:to>
    <xdr:sp macro="" textlink="Pivot!$A$12">
      <xdr:nvSpPr>
        <xdr:cNvPr id="4" name="Rectangle: Rounded Corners 3">
          <a:extLst>
            <a:ext uri="{FF2B5EF4-FFF2-40B4-BE49-F238E27FC236}">
              <a16:creationId xmlns:a16="http://schemas.microsoft.com/office/drawing/2014/main" id="{29471FC9-CED7-4B91-9056-CF1BEB0A6BA4}"/>
            </a:ext>
          </a:extLst>
        </xdr:cNvPr>
        <xdr:cNvSpPr/>
      </xdr:nvSpPr>
      <xdr:spPr>
        <a:xfrm>
          <a:off x="1729740" y="457200"/>
          <a:ext cx="1577340" cy="60960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FFFF00"/>
              </a:solidFill>
              <a:latin typeface="Garamond" panose="02020404030301010803" pitchFamily="18" charset="0"/>
            </a:rPr>
            <a:t>Total Customers</a:t>
          </a:r>
        </a:p>
        <a:p>
          <a:pPr algn="ctr"/>
          <a:fld id="{59A4F70E-FEC2-4121-840B-E972EB38DFCC}" type="TxLink">
            <a:rPr lang="en-US" sz="1100" b="1" i="0" u="none" strike="noStrike">
              <a:solidFill>
                <a:schemeClr val="bg1"/>
              </a:solidFill>
              <a:latin typeface="Garamond" panose="02020404030301010803" pitchFamily="18" charset="0"/>
            </a:rPr>
            <a:pPr algn="ctr"/>
            <a:t>500</a:t>
          </a:fld>
          <a:endParaRPr lang="en-US" sz="1100" b="1">
            <a:solidFill>
              <a:schemeClr val="bg1"/>
            </a:solidFill>
            <a:latin typeface="Garamond" panose="02020404030301010803" pitchFamily="18" charset="0"/>
          </a:endParaRPr>
        </a:p>
      </xdr:txBody>
    </xdr:sp>
    <xdr:clientData/>
  </xdr:twoCellAnchor>
  <xdr:twoCellAnchor>
    <xdr:from>
      <xdr:col>5</xdr:col>
      <xdr:colOff>297180</xdr:colOff>
      <xdr:row>2</xdr:row>
      <xdr:rowOff>99060</xdr:rowOff>
    </xdr:from>
    <xdr:to>
      <xdr:col>7</xdr:col>
      <xdr:colOff>556260</xdr:colOff>
      <xdr:row>5</xdr:row>
      <xdr:rowOff>160020</xdr:rowOff>
    </xdr:to>
    <xdr:sp macro="" textlink="Pivot!$G$20">
      <xdr:nvSpPr>
        <xdr:cNvPr id="5" name="Rectangle: Rounded Corners 4">
          <a:extLst>
            <a:ext uri="{FF2B5EF4-FFF2-40B4-BE49-F238E27FC236}">
              <a16:creationId xmlns:a16="http://schemas.microsoft.com/office/drawing/2014/main" id="{FAB6F594-AC24-4B7B-A47B-5E2A6B0D232B}"/>
            </a:ext>
          </a:extLst>
        </xdr:cNvPr>
        <xdr:cNvSpPr/>
      </xdr:nvSpPr>
      <xdr:spPr>
        <a:xfrm>
          <a:off x="3345180" y="464820"/>
          <a:ext cx="1478280" cy="60960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FFFF00"/>
              </a:solidFill>
              <a:latin typeface="Garamond" panose="02020404030301010803" pitchFamily="18" charset="0"/>
            </a:rPr>
            <a:t>Total</a:t>
          </a:r>
          <a:r>
            <a:rPr lang="en-US" sz="1200" b="1" i="0" u="none" strike="noStrike" baseline="0">
              <a:solidFill>
                <a:srgbClr val="FFFF00"/>
              </a:solidFill>
              <a:latin typeface="Garamond" panose="02020404030301010803" pitchFamily="18" charset="0"/>
            </a:rPr>
            <a:t> Units Sold</a:t>
          </a:r>
          <a:endParaRPr lang="en-US" sz="1200" b="1" i="0" u="none" strike="noStrike">
            <a:solidFill>
              <a:srgbClr val="FFFF00"/>
            </a:solidFill>
            <a:latin typeface="Garamond" panose="02020404030301010803" pitchFamily="18" charset="0"/>
          </a:endParaRPr>
        </a:p>
        <a:p>
          <a:pPr algn="ctr"/>
          <a:fld id="{281264F1-C72F-433D-A253-B832583DF183}" type="TxLink">
            <a:rPr lang="en-US" sz="1100" b="1" i="0" u="none" strike="noStrike">
              <a:solidFill>
                <a:schemeClr val="bg1"/>
              </a:solidFill>
              <a:latin typeface="Garamond" panose="02020404030301010803" pitchFamily="18" charset="0"/>
            </a:rPr>
            <a:pPr algn="ctr"/>
            <a:t>12899</a:t>
          </a:fld>
          <a:endParaRPr lang="en-US" sz="1100" b="1">
            <a:solidFill>
              <a:schemeClr val="bg1"/>
            </a:solidFill>
            <a:latin typeface="Garamond" panose="02020404030301010803" pitchFamily="18" charset="0"/>
          </a:endParaRPr>
        </a:p>
      </xdr:txBody>
    </xdr:sp>
    <xdr:clientData/>
  </xdr:twoCellAnchor>
  <xdr:twoCellAnchor>
    <xdr:from>
      <xdr:col>7</xdr:col>
      <xdr:colOff>571500</xdr:colOff>
      <xdr:row>2</xdr:row>
      <xdr:rowOff>99060</xdr:rowOff>
    </xdr:from>
    <xdr:to>
      <xdr:col>10</xdr:col>
      <xdr:colOff>144780</xdr:colOff>
      <xdr:row>5</xdr:row>
      <xdr:rowOff>175260</xdr:rowOff>
    </xdr:to>
    <xdr:sp macro="" textlink="Pivot!$I$20">
      <xdr:nvSpPr>
        <xdr:cNvPr id="6" name="Rectangle: Rounded Corners 5">
          <a:extLst>
            <a:ext uri="{FF2B5EF4-FFF2-40B4-BE49-F238E27FC236}">
              <a16:creationId xmlns:a16="http://schemas.microsoft.com/office/drawing/2014/main" id="{66A7FC4A-060F-4991-9422-171F14ADFFC3}"/>
            </a:ext>
          </a:extLst>
        </xdr:cNvPr>
        <xdr:cNvSpPr/>
      </xdr:nvSpPr>
      <xdr:spPr>
        <a:xfrm>
          <a:off x="4838700" y="464820"/>
          <a:ext cx="1402080" cy="62484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FFFF00"/>
              </a:solidFill>
              <a:latin typeface="Garamond" panose="02020404030301010803" pitchFamily="18" charset="0"/>
            </a:rPr>
            <a:t>Average Age</a:t>
          </a:r>
        </a:p>
        <a:p>
          <a:pPr algn="ctr"/>
          <a:fld id="{098951BE-31AB-4D73-BEAA-ADEC933ABED6}" type="TxLink">
            <a:rPr lang="en-US" sz="1100" b="1" i="0" u="none" strike="noStrike">
              <a:solidFill>
                <a:schemeClr val="bg2"/>
              </a:solidFill>
              <a:latin typeface="Garamond" panose="02020404030301010803" pitchFamily="18" charset="0"/>
            </a:rPr>
            <a:pPr algn="ctr"/>
            <a:t>41</a:t>
          </a:fld>
          <a:endParaRPr lang="en-US" sz="1100" b="1">
            <a:solidFill>
              <a:schemeClr val="bg2"/>
            </a:solidFill>
            <a:latin typeface="Garamond" panose="02020404030301010803" pitchFamily="18" charset="0"/>
          </a:endParaRPr>
        </a:p>
      </xdr:txBody>
    </xdr:sp>
    <xdr:clientData/>
  </xdr:twoCellAnchor>
  <xdr:twoCellAnchor>
    <xdr:from>
      <xdr:col>0</xdr:col>
      <xdr:colOff>121920</xdr:colOff>
      <xdr:row>6</xdr:row>
      <xdr:rowOff>22860</xdr:rowOff>
    </xdr:from>
    <xdr:to>
      <xdr:col>4</xdr:col>
      <xdr:colOff>419100</xdr:colOff>
      <xdr:row>15</xdr:row>
      <xdr:rowOff>76200</xdr:rowOff>
    </xdr:to>
    <xdr:sp macro="" textlink="">
      <xdr:nvSpPr>
        <xdr:cNvPr id="7" name="Rectangle: Rounded Corners 6">
          <a:extLst>
            <a:ext uri="{FF2B5EF4-FFF2-40B4-BE49-F238E27FC236}">
              <a16:creationId xmlns:a16="http://schemas.microsoft.com/office/drawing/2014/main" id="{69644C37-6774-457D-BCF8-CD2E9005E073}"/>
            </a:ext>
          </a:extLst>
        </xdr:cNvPr>
        <xdr:cNvSpPr/>
      </xdr:nvSpPr>
      <xdr:spPr>
        <a:xfrm>
          <a:off x="121920" y="1120140"/>
          <a:ext cx="2735580" cy="169926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15</xdr:row>
      <xdr:rowOff>129540</xdr:rowOff>
    </xdr:from>
    <xdr:to>
      <xdr:col>4</xdr:col>
      <xdr:colOff>411480</xdr:colOff>
      <xdr:row>25</xdr:row>
      <xdr:rowOff>0</xdr:rowOff>
    </xdr:to>
    <xdr:sp macro="" textlink="">
      <xdr:nvSpPr>
        <xdr:cNvPr id="8" name="Rectangle: Rounded Corners 7">
          <a:extLst>
            <a:ext uri="{FF2B5EF4-FFF2-40B4-BE49-F238E27FC236}">
              <a16:creationId xmlns:a16="http://schemas.microsoft.com/office/drawing/2014/main" id="{881ABA33-298C-4456-BBCA-67B3184EE823}"/>
            </a:ext>
          </a:extLst>
        </xdr:cNvPr>
        <xdr:cNvSpPr/>
      </xdr:nvSpPr>
      <xdr:spPr>
        <a:xfrm>
          <a:off x="129540" y="2872740"/>
          <a:ext cx="2720340" cy="169926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472440</xdr:colOff>
      <xdr:row>6</xdr:row>
      <xdr:rowOff>30480</xdr:rowOff>
    </xdr:from>
    <xdr:to>
      <xdr:col>13</xdr:col>
      <xdr:colOff>365760</xdr:colOff>
      <xdr:row>15</xdr:row>
      <xdr:rowOff>83820</xdr:rowOff>
    </xdr:to>
    <xdr:sp macro="" textlink="">
      <xdr:nvSpPr>
        <xdr:cNvPr id="9" name="Rectangle: Rounded Corners 8">
          <a:extLst>
            <a:ext uri="{FF2B5EF4-FFF2-40B4-BE49-F238E27FC236}">
              <a16:creationId xmlns:a16="http://schemas.microsoft.com/office/drawing/2014/main" id="{87DEA9A4-7C04-4F00-8D5A-A2F4D33140E0}"/>
            </a:ext>
          </a:extLst>
        </xdr:cNvPr>
        <xdr:cNvSpPr/>
      </xdr:nvSpPr>
      <xdr:spPr>
        <a:xfrm>
          <a:off x="2910840" y="1127760"/>
          <a:ext cx="5379720" cy="169926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0</xdr:col>
      <xdr:colOff>426720</xdr:colOff>
      <xdr:row>0</xdr:row>
      <xdr:rowOff>68580</xdr:rowOff>
    </xdr:from>
    <xdr:to>
      <xdr:col>9</xdr:col>
      <xdr:colOff>167640</xdr:colOff>
      <xdr:row>2</xdr:row>
      <xdr:rowOff>160020</xdr:rowOff>
    </xdr:to>
    <xdr:sp macro="" textlink="">
      <xdr:nvSpPr>
        <xdr:cNvPr id="15" name="TextBox 14">
          <a:extLst>
            <a:ext uri="{FF2B5EF4-FFF2-40B4-BE49-F238E27FC236}">
              <a16:creationId xmlns:a16="http://schemas.microsoft.com/office/drawing/2014/main" id="{4BF69FF4-980B-131D-18A8-28E8DDB47CA9}"/>
            </a:ext>
          </a:extLst>
        </xdr:cNvPr>
        <xdr:cNvSpPr txBox="1"/>
      </xdr:nvSpPr>
      <xdr:spPr>
        <a:xfrm>
          <a:off x="426720" y="68580"/>
          <a:ext cx="52273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FF00"/>
              </a:solidFill>
              <a:latin typeface="Garamond" panose="02020404030301010803" pitchFamily="18" charset="0"/>
            </a:rPr>
            <a:t>2026 RETAIL SALES PERFORMANCE DASHBOARD</a:t>
          </a:r>
        </a:p>
      </xdr:txBody>
    </xdr:sp>
    <xdr:clientData/>
  </xdr:twoCellAnchor>
  <xdr:twoCellAnchor editAs="oneCell">
    <xdr:from>
      <xdr:col>0</xdr:col>
      <xdr:colOff>114299</xdr:colOff>
      <xdr:row>0</xdr:row>
      <xdr:rowOff>76200</xdr:rowOff>
    </xdr:from>
    <xdr:to>
      <xdr:col>0</xdr:col>
      <xdr:colOff>546174</xdr:colOff>
      <xdr:row>2</xdr:row>
      <xdr:rowOff>22860</xdr:rowOff>
    </xdr:to>
    <xdr:pic>
      <xdr:nvPicPr>
        <xdr:cNvPr id="17" name="Picture 16">
          <a:extLst>
            <a:ext uri="{FF2B5EF4-FFF2-40B4-BE49-F238E27FC236}">
              <a16:creationId xmlns:a16="http://schemas.microsoft.com/office/drawing/2014/main" id="{971F7D3E-BD60-A2F7-608B-C2E7EC877E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299" y="76200"/>
          <a:ext cx="431875" cy="312420"/>
        </a:xfrm>
        <a:prstGeom prst="rect">
          <a:avLst/>
        </a:prstGeom>
      </xdr:spPr>
    </xdr:pic>
    <xdr:clientData/>
  </xdr:twoCellAnchor>
  <xdr:twoCellAnchor editAs="oneCell">
    <xdr:from>
      <xdr:col>0</xdr:col>
      <xdr:colOff>121920</xdr:colOff>
      <xdr:row>2</xdr:row>
      <xdr:rowOff>91440</xdr:rowOff>
    </xdr:from>
    <xdr:to>
      <xdr:col>0</xdr:col>
      <xdr:colOff>396240</xdr:colOff>
      <xdr:row>4</xdr:row>
      <xdr:rowOff>0</xdr:rowOff>
    </xdr:to>
    <xdr:pic>
      <xdr:nvPicPr>
        <xdr:cNvPr id="19" name="Picture 18">
          <a:extLst>
            <a:ext uri="{FF2B5EF4-FFF2-40B4-BE49-F238E27FC236}">
              <a16:creationId xmlns:a16="http://schemas.microsoft.com/office/drawing/2014/main" id="{11943E70-F71D-7B1C-9B8D-D028412576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1920" y="457200"/>
          <a:ext cx="274320" cy="274320"/>
        </a:xfrm>
        <a:prstGeom prst="rect">
          <a:avLst/>
        </a:prstGeom>
      </xdr:spPr>
    </xdr:pic>
    <xdr:clientData/>
  </xdr:twoCellAnchor>
  <xdr:twoCellAnchor editAs="oneCell">
    <xdr:from>
      <xdr:col>2</xdr:col>
      <xdr:colOff>487680</xdr:colOff>
      <xdr:row>2</xdr:row>
      <xdr:rowOff>60960</xdr:rowOff>
    </xdr:from>
    <xdr:to>
      <xdr:col>3</xdr:col>
      <xdr:colOff>152400</xdr:colOff>
      <xdr:row>3</xdr:row>
      <xdr:rowOff>152400</xdr:rowOff>
    </xdr:to>
    <xdr:pic>
      <xdr:nvPicPr>
        <xdr:cNvPr id="21" name="Picture 20">
          <a:extLst>
            <a:ext uri="{FF2B5EF4-FFF2-40B4-BE49-F238E27FC236}">
              <a16:creationId xmlns:a16="http://schemas.microsoft.com/office/drawing/2014/main" id="{2309145D-CD8E-E747-9C32-541147AB84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06880" y="426720"/>
          <a:ext cx="274320" cy="274320"/>
        </a:xfrm>
        <a:prstGeom prst="rect">
          <a:avLst/>
        </a:prstGeom>
      </xdr:spPr>
    </xdr:pic>
    <xdr:clientData/>
  </xdr:twoCellAnchor>
  <xdr:twoCellAnchor editAs="oneCell">
    <xdr:from>
      <xdr:col>5</xdr:col>
      <xdr:colOff>205741</xdr:colOff>
      <xdr:row>2</xdr:row>
      <xdr:rowOff>68581</xdr:rowOff>
    </xdr:from>
    <xdr:to>
      <xdr:col>5</xdr:col>
      <xdr:colOff>556260</xdr:colOff>
      <xdr:row>4</xdr:row>
      <xdr:rowOff>53340</xdr:rowOff>
    </xdr:to>
    <xdr:pic>
      <xdr:nvPicPr>
        <xdr:cNvPr id="23" name="Picture 22">
          <a:extLst>
            <a:ext uri="{FF2B5EF4-FFF2-40B4-BE49-F238E27FC236}">
              <a16:creationId xmlns:a16="http://schemas.microsoft.com/office/drawing/2014/main" id="{D4B374CE-69C1-D418-2E5F-5717DBBE1D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53741" y="434341"/>
          <a:ext cx="350519" cy="350519"/>
        </a:xfrm>
        <a:prstGeom prst="rect">
          <a:avLst/>
        </a:prstGeom>
      </xdr:spPr>
    </xdr:pic>
    <xdr:clientData/>
  </xdr:twoCellAnchor>
  <xdr:twoCellAnchor editAs="oneCell">
    <xdr:from>
      <xdr:col>8</xdr:col>
      <xdr:colOff>22860</xdr:colOff>
      <xdr:row>2</xdr:row>
      <xdr:rowOff>137160</xdr:rowOff>
    </xdr:from>
    <xdr:to>
      <xdr:col>8</xdr:col>
      <xdr:colOff>228600</xdr:colOff>
      <xdr:row>3</xdr:row>
      <xdr:rowOff>160020</xdr:rowOff>
    </xdr:to>
    <xdr:pic>
      <xdr:nvPicPr>
        <xdr:cNvPr id="29" name="Picture 28">
          <a:extLst>
            <a:ext uri="{FF2B5EF4-FFF2-40B4-BE49-F238E27FC236}">
              <a16:creationId xmlns:a16="http://schemas.microsoft.com/office/drawing/2014/main" id="{5BC31282-BE2D-8F7A-5E31-49A876B7643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99660" y="502920"/>
          <a:ext cx="205740" cy="205740"/>
        </a:xfrm>
        <a:prstGeom prst="rect">
          <a:avLst/>
        </a:prstGeom>
      </xdr:spPr>
    </xdr:pic>
    <xdr:clientData/>
  </xdr:twoCellAnchor>
  <xdr:twoCellAnchor>
    <xdr:from>
      <xdr:col>0</xdr:col>
      <xdr:colOff>30480</xdr:colOff>
      <xdr:row>5</xdr:row>
      <xdr:rowOff>152400</xdr:rowOff>
    </xdr:from>
    <xdr:to>
      <xdr:col>4</xdr:col>
      <xdr:colOff>533400</xdr:colOff>
      <xdr:row>15</xdr:row>
      <xdr:rowOff>91440</xdr:rowOff>
    </xdr:to>
    <xdr:graphicFrame macro="">
      <xdr:nvGraphicFramePr>
        <xdr:cNvPr id="30" name="Chart 29">
          <a:extLst>
            <a:ext uri="{FF2B5EF4-FFF2-40B4-BE49-F238E27FC236}">
              <a16:creationId xmlns:a16="http://schemas.microsoft.com/office/drawing/2014/main" id="{1279669F-AA4D-40C1-9A02-FF97FBF20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198120</xdr:colOff>
      <xdr:row>6</xdr:row>
      <xdr:rowOff>68580</xdr:rowOff>
    </xdr:from>
    <xdr:to>
      <xdr:col>0</xdr:col>
      <xdr:colOff>449580</xdr:colOff>
      <xdr:row>7</xdr:row>
      <xdr:rowOff>137160</xdr:rowOff>
    </xdr:to>
    <xdr:pic>
      <xdr:nvPicPr>
        <xdr:cNvPr id="32" name="Picture 31">
          <a:extLst>
            <a:ext uri="{FF2B5EF4-FFF2-40B4-BE49-F238E27FC236}">
              <a16:creationId xmlns:a16="http://schemas.microsoft.com/office/drawing/2014/main" id="{78D6C08A-4A01-0382-327C-97F62C4D46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8120" y="1165860"/>
          <a:ext cx="251460" cy="251460"/>
        </a:xfrm>
        <a:prstGeom prst="rect">
          <a:avLst/>
        </a:prstGeom>
      </xdr:spPr>
    </xdr:pic>
    <xdr:clientData/>
  </xdr:twoCellAnchor>
  <xdr:twoCellAnchor>
    <xdr:from>
      <xdr:col>4</xdr:col>
      <xdr:colOff>350520</xdr:colOff>
      <xdr:row>5</xdr:row>
      <xdr:rowOff>167640</xdr:rowOff>
    </xdr:from>
    <xdr:to>
      <xdr:col>13</xdr:col>
      <xdr:colOff>510540</xdr:colOff>
      <xdr:row>15</xdr:row>
      <xdr:rowOff>91440</xdr:rowOff>
    </xdr:to>
    <xdr:graphicFrame macro="">
      <xdr:nvGraphicFramePr>
        <xdr:cNvPr id="33" name="Chart 32">
          <a:extLst>
            <a:ext uri="{FF2B5EF4-FFF2-40B4-BE49-F238E27FC236}">
              <a16:creationId xmlns:a16="http://schemas.microsoft.com/office/drawing/2014/main" id="{DDAD632F-B9BE-4FA0-B7B1-FFEB7CD08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472440</xdr:colOff>
      <xdr:row>15</xdr:row>
      <xdr:rowOff>137160</xdr:rowOff>
    </xdr:from>
    <xdr:to>
      <xdr:col>9</xdr:col>
      <xdr:colOff>144780</xdr:colOff>
      <xdr:row>25</xdr:row>
      <xdr:rowOff>7620</xdr:rowOff>
    </xdr:to>
    <xdr:sp macro="" textlink="">
      <xdr:nvSpPr>
        <xdr:cNvPr id="34" name="Rectangle: Rounded Corners 33">
          <a:extLst>
            <a:ext uri="{FF2B5EF4-FFF2-40B4-BE49-F238E27FC236}">
              <a16:creationId xmlns:a16="http://schemas.microsoft.com/office/drawing/2014/main" id="{372768AF-7D5D-417A-A948-0604D895C214}"/>
            </a:ext>
          </a:extLst>
        </xdr:cNvPr>
        <xdr:cNvSpPr/>
      </xdr:nvSpPr>
      <xdr:spPr>
        <a:xfrm>
          <a:off x="2910840" y="2880360"/>
          <a:ext cx="2720340" cy="169926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231206</xdr:colOff>
      <xdr:row>6</xdr:row>
      <xdr:rowOff>45720</xdr:rowOff>
    </xdr:from>
    <xdr:to>
      <xdr:col>8</xdr:col>
      <xdr:colOff>7619</xdr:colOff>
      <xdr:row>7</xdr:row>
      <xdr:rowOff>129540</xdr:rowOff>
    </xdr:to>
    <xdr:pic>
      <xdr:nvPicPr>
        <xdr:cNvPr id="36" name="Picture 35">
          <a:extLst>
            <a:ext uri="{FF2B5EF4-FFF2-40B4-BE49-F238E27FC236}">
              <a16:creationId xmlns:a16="http://schemas.microsoft.com/office/drawing/2014/main" id="{56066845-BAAC-8FA4-D218-3531F255246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498406" y="1143000"/>
          <a:ext cx="386013" cy="266700"/>
        </a:xfrm>
        <a:prstGeom prst="rect">
          <a:avLst/>
        </a:prstGeom>
      </xdr:spPr>
    </xdr:pic>
    <xdr:clientData/>
  </xdr:twoCellAnchor>
  <xdr:twoCellAnchor>
    <xdr:from>
      <xdr:col>9</xdr:col>
      <xdr:colOff>190500</xdr:colOff>
      <xdr:row>15</xdr:row>
      <xdr:rowOff>137160</xdr:rowOff>
    </xdr:from>
    <xdr:to>
      <xdr:col>13</xdr:col>
      <xdr:colOff>365760</xdr:colOff>
      <xdr:row>25</xdr:row>
      <xdr:rowOff>7620</xdr:rowOff>
    </xdr:to>
    <xdr:sp macro="" textlink="">
      <xdr:nvSpPr>
        <xdr:cNvPr id="37" name="Rectangle: Rounded Corners 36">
          <a:extLst>
            <a:ext uri="{FF2B5EF4-FFF2-40B4-BE49-F238E27FC236}">
              <a16:creationId xmlns:a16="http://schemas.microsoft.com/office/drawing/2014/main" id="{DF76BB92-B2CF-434E-97BB-F8FE77AB7A9B}"/>
            </a:ext>
          </a:extLst>
        </xdr:cNvPr>
        <xdr:cNvSpPr/>
      </xdr:nvSpPr>
      <xdr:spPr>
        <a:xfrm>
          <a:off x="5676900" y="2880360"/>
          <a:ext cx="2613660" cy="169926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182880</xdr:colOff>
      <xdr:row>15</xdr:row>
      <xdr:rowOff>129540</xdr:rowOff>
    </xdr:from>
    <xdr:to>
      <xdr:col>4</xdr:col>
      <xdr:colOff>411480</xdr:colOff>
      <xdr:row>24</xdr:row>
      <xdr:rowOff>68580</xdr:rowOff>
    </xdr:to>
    <xdr:graphicFrame macro="">
      <xdr:nvGraphicFramePr>
        <xdr:cNvPr id="38" name="Chart 37">
          <a:extLst>
            <a:ext uri="{FF2B5EF4-FFF2-40B4-BE49-F238E27FC236}">
              <a16:creationId xmlns:a16="http://schemas.microsoft.com/office/drawing/2014/main" id="{8F80E856-A6A2-480D-8976-B68C181B7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487680</xdr:colOff>
      <xdr:row>15</xdr:row>
      <xdr:rowOff>53340</xdr:rowOff>
    </xdr:from>
    <xdr:to>
      <xdr:col>9</xdr:col>
      <xdr:colOff>243840</xdr:colOff>
      <xdr:row>25</xdr:row>
      <xdr:rowOff>99060</xdr:rowOff>
    </xdr:to>
    <xdr:graphicFrame macro="">
      <xdr:nvGraphicFramePr>
        <xdr:cNvPr id="39" name="Chart 38">
          <a:extLst>
            <a:ext uri="{FF2B5EF4-FFF2-40B4-BE49-F238E27FC236}">
              <a16:creationId xmlns:a16="http://schemas.microsoft.com/office/drawing/2014/main" id="{8FAEF0E6-08BA-4E41-AD22-CE12FC86F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426720</xdr:colOff>
      <xdr:row>6</xdr:row>
      <xdr:rowOff>30480</xdr:rowOff>
    </xdr:from>
    <xdr:to>
      <xdr:col>17</xdr:col>
      <xdr:colOff>601980</xdr:colOff>
      <xdr:row>15</xdr:row>
      <xdr:rowOff>83820</xdr:rowOff>
    </xdr:to>
    <xdr:sp macro="" textlink="">
      <xdr:nvSpPr>
        <xdr:cNvPr id="40" name="Rectangle: Rounded Corners 39">
          <a:extLst>
            <a:ext uri="{FF2B5EF4-FFF2-40B4-BE49-F238E27FC236}">
              <a16:creationId xmlns:a16="http://schemas.microsoft.com/office/drawing/2014/main" id="{2ECB1793-18AD-4827-8084-386BE5DD603C}"/>
            </a:ext>
          </a:extLst>
        </xdr:cNvPr>
        <xdr:cNvSpPr/>
      </xdr:nvSpPr>
      <xdr:spPr>
        <a:xfrm>
          <a:off x="8351520" y="1127760"/>
          <a:ext cx="2613660" cy="169926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426720</xdr:colOff>
      <xdr:row>15</xdr:row>
      <xdr:rowOff>137160</xdr:rowOff>
    </xdr:from>
    <xdr:to>
      <xdr:col>17</xdr:col>
      <xdr:colOff>601980</xdr:colOff>
      <xdr:row>25</xdr:row>
      <xdr:rowOff>7620</xdr:rowOff>
    </xdr:to>
    <xdr:sp macro="" textlink="">
      <xdr:nvSpPr>
        <xdr:cNvPr id="41" name="Rectangle: Rounded Corners 40">
          <a:extLst>
            <a:ext uri="{FF2B5EF4-FFF2-40B4-BE49-F238E27FC236}">
              <a16:creationId xmlns:a16="http://schemas.microsoft.com/office/drawing/2014/main" id="{915A5A42-9C39-4B97-93A2-36FFD54BDB41}"/>
            </a:ext>
          </a:extLst>
        </xdr:cNvPr>
        <xdr:cNvSpPr/>
      </xdr:nvSpPr>
      <xdr:spPr>
        <a:xfrm>
          <a:off x="8351520" y="2880360"/>
          <a:ext cx="2613660" cy="169926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30480</xdr:colOff>
      <xdr:row>0</xdr:row>
      <xdr:rowOff>68580</xdr:rowOff>
    </xdr:from>
    <xdr:to>
      <xdr:col>22</xdr:col>
      <xdr:colOff>487680</xdr:colOff>
      <xdr:row>24</xdr:row>
      <xdr:rowOff>175260</xdr:rowOff>
    </xdr:to>
    <xdr:sp macro="" textlink="">
      <xdr:nvSpPr>
        <xdr:cNvPr id="42" name="Rectangle: Rounded Corners 41">
          <a:extLst>
            <a:ext uri="{FF2B5EF4-FFF2-40B4-BE49-F238E27FC236}">
              <a16:creationId xmlns:a16="http://schemas.microsoft.com/office/drawing/2014/main" id="{2B7B809A-4F72-42E1-ACC4-42C7696B2587}"/>
            </a:ext>
          </a:extLst>
        </xdr:cNvPr>
        <xdr:cNvSpPr/>
      </xdr:nvSpPr>
      <xdr:spPr>
        <a:xfrm>
          <a:off x="11003280" y="68580"/>
          <a:ext cx="2895600" cy="449580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solidFill>
                <a:srgbClr val="FFFF00"/>
              </a:solidFill>
              <a:latin typeface="Garamond" panose="02020404030301010803" pitchFamily="18" charset="0"/>
            </a:rPr>
            <a:t>INSIGHTS</a:t>
          </a:r>
        </a:p>
        <a:p>
          <a:pPr algn="l"/>
          <a:r>
            <a:rPr lang="en-US" sz="1000" b="1">
              <a:latin typeface="Garamond" panose="02020404030301010803" pitchFamily="18" charset="0"/>
            </a:rPr>
            <a:t>1. </a:t>
          </a:r>
          <a:r>
            <a:rPr lang="en-US" sz="1050" b="1">
              <a:solidFill>
                <a:schemeClr val="lt1"/>
              </a:solidFill>
              <a:effectLst/>
              <a:latin typeface="Garamond" panose="02020404030301010803" pitchFamily="18" charset="0"/>
              <a:ea typeface="+mn-ea"/>
              <a:cs typeface="+mn-cs"/>
            </a:rPr>
            <a:t>Office Equipment leads revenue at $2.6M, outperforming Electronics by $700K.</a:t>
          </a:r>
          <a:r>
            <a:rPr lang="en-US" sz="1000" b="1">
              <a:latin typeface="Garamond" panose="02020404030301010803" pitchFamily="18" charset="0"/>
            </a:rPr>
            <a:t> </a:t>
          </a:r>
        </a:p>
        <a:p>
          <a:pPr algn="l"/>
          <a:r>
            <a:rPr lang="en-US" sz="1000" b="1">
              <a:latin typeface="Garamond" panose="02020404030301010803" pitchFamily="18" charset="0"/>
            </a:rPr>
            <a:t>2. </a:t>
          </a:r>
          <a:r>
            <a:rPr lang="en-US" sz="1050" b="1">
              <a:solidFill>
                <a:schemeClr val="lt1"/>
              </a:solidFill>
              <a:effectLst/>
              <a:latin typeface="Garamond" panose="02020404030301010803" pitchFamily="18" charset="0"/>
              <a:ea typeface="+mn-ea"/>
              <a:cs typeface="+mn-cs"/>
            </a:rPr>
            <a:t>North region generates the highest revenue at $1.9M, showing stronger market performance.</a:t>
          </a:r>
          <a:r>
            <a:rPr lang="en-US" sz="1000" b="1">
              <a:latin typeface="Garamond" panose="02020404030301010803" pitchFamily="18" charset="0"/>
            </a:rPr>
            <a:t> </a:t>
          </a:r>
        </a:p>
        <a:p>
          <a:pPr algn="l"/>
          <a:r>
            <a:rPr lang="en-US" sz="1000" b="1">
              <a:latin typeface="Garamond" panose="02020404030301010803" pitchFamily="18" charset="0"/>
            </a:rPr>
            <a:t>3. </a:t>
          </a:r>
          <a:r>
            <a:rPr lang="en-US" sz="1050" b="1">
              <a:solidFill>
                <a:schemeClr val="lt1"/>
              </a:solidFill>
              <a:effectLst/>
              <a:latin typeface="Garamond" panose="02020404030301010803" pitchFamily="18" charset="0"/>
              <a:ea typeface="+mn-ea"/>
              <a:cs typeface="+mn-cs"/>
            </a:rPr>
            <a:t>July revenue dropped to $263K, a 53% decline from June’s $564K.</a:t>
          </a:r>
          <a:r>
            <a:rPr lang="en-US" sz="1000" b="1">
              <a:latin typeface="Garamond" panose="02020404030301010803" pitchFamily="18" charset="0"/>
            </a:rPr>
            <a:t> </a:t>
          </a:r>
        </a:p>
        <a:p>
          <a:pPr algn="l"/>
          <a:r>
            <a:rPr lang="en-US" sz="1000" b="1">
              <a:latin typeface="Garamond" panose="02020404030301010803" pitchFamily="18" charset="0"/>
            </a:rPr>
            <a:t>4. </a:t>
          </a:r>
          <a:r>
            <a:rPr lang="en-US" sz="1050" b="1">
              <a:solidFill>
                <a:schemeClr val="lt1"/>
              </a:solidFill>
              <a:effectLst/>
              <a:latin typeface="Garamond" panose="02020404030301010803" pitchFamily="18" charset="0"/>
              <a:ea typeface="+mn-ea"/>
              <a:cs typeface="+mn-cs"/>
            </a:rPr>
            <a:t>Corporate customers contribute $3.3M, exceeding Individual customers by $600K.</a:t>
          </a:r>
          <a:r>
            <a:rPr lang="en-US" sz="1000" b="1">
              <a:latin typeface="Garamond" panose="02020404030301010803" pitchFamily="18" charset="0"/>
            </a:rPr>
            <a:t> </a:t>
          </a:r>
        </a:p>
        <a:p>
          <a:pPr algn="l"/>
          <a:r>
            <a:rPr lang="en-US" sz="1000" b="1">
              <a:latin typeface="Garamond" panose="02020404030301010803" pitchFamily="18" charset="0"/>
            </a:rPr>
            <a:t>5. </a:t>
          </a:r>
          <a:r>
            <a:rPr lang="en-US" sz="1050" b="1">
              <a:solidFill>
                <a:schemeClr val="lt1"/>
              </a:solidFill>
              <a:effectLst/>
              <a:latin typeface="Garamond" panose="02020404030301010803" pitchFamily="18" charset="0"/>
              <a:ea typeface="+mn-ea"/>
              <a:cs typeface="+mn-cs"/>
            </a:rPr>
            <a:t>Revenue depends heavily on top products and high-performing salespeople.</a:t>
          </a:r>
          <a:r>
            <a:rPr lang="en-US" sz="1000" b="1">
              <a:latin typeface="Garamond" panose="02020404030301010803" pitchFamily="18" charset="0"/>
            </a:rPr>
            <a:t> </a:t>
          </a:r>
          <a:endParaRPr lang="en-US" sz="1000" b="1">
            <a:solidFill>
              <a:srgbClr val="FFFF00"/>
            </a:solidFill>
            <a:latin typeface="Garamond" panose="02020404030301010803" pitchFamily="18" charset="0"/>
          </a:endParaRPr>
        </a:p>
        <a:p>
          <a:pPr algn="ctr"/>
          <a:endParaRPr lang="en-US" sz="1050" b="1">
            <a:solidFill>
              <a:srgbClr val="FFFF00"/>
            </a:solidFill>
            <a:latin typeface="Garamond" panose="02020404030301010803" pitchFamily="18" charset="0"/>
          </a:endParaRPr>
        </a:p>
        <a:p>
          <a:pPr algn="ctr"/>
          <a:r>
            <a:rPr lang="en-US" sz="1050" b="1">
              <a:solidFill>
                <a:srgbClr val="FFFF00"/>
              </a:solidFill>
              <a:latin typeface="Garamond" panose="02020404030301010803" pitchFamily="18" charset="0"/>
            </a:rPr>
            <a:t>RECOMMENDATIONS</a:t>
          </a:r>
        </a:p>
        <a:p>
          <a:pPr algn="l"/>
          <a:r>
            <a:rPr lang="en-US" sz="1100">
              <a:solidFill>
                <a:schemeClr val="lt1"/>
              </a:solidFill>
              <a:effectLst/>
              <a:latin typeface="Garamond" panose="02020404030301010803" pitchFamily="18" charset="0"/>
              <a:ea typeface="+mn-ea"/>
              <a:cs typeface="+mn-cs"/>
            </a:rPr>
            <a:t> </a:t>
          </a:r>
          <a:r>
            <a:rPr lang="en-US" sz="1050" b="1">
              <a:solidFill>
                <a:schemeClr val="lt1"/>
              </a:solidFill>
              <a:effectLst/>
              <a:latin typeface="Garamond" panose="02020404030301010803" pitchFamily="18" charset="0"/>
              <a:ea typeface="+mn-ea"/>
              <a:cs typeface="+mn-cs"/>
            </a:rPr>
            <a:t>1. Increase focus on Office Equipment to maximize the strongest revenue segment. </a:t>
          </a:r>
        </a:p>
        <a:p>
          <a:pPr algn="l"/>
          <a:r>
            <a:rPr lang="en-US" sz="1050" b="1">
              <a:solidFill>
                <a:schemeClr val="lt1"/>
              </a:solidFill>
              <a:effectLst/>
              <a:latin typeface="Garamond" panose="02020404030301010803" pitchFamily="18" charset="0"/>
              <a:ea typeface="+mn-ea"/>
              <a:cs typeface="+mn-cs"/>
            </a:rPr>
            <a:t>2. Analyse North region strategies and apply them to weaker regions. </a:t>
          </a:r>
        </a:p>
        <a:p>
          <a:pPr algn="l"/>
          <a:r>
            <a:rPr lang="en-US" sz="1050" b="1">
              <a:solidFill>
                <a:schemeClr val="lt1"/>
              </a:solidFill>
              <a:effectLst/>
              <a:latin typeface="Garamond" panose="02020404030301010803" pitchFamily="18" charset="0"/>
              <a:ea typeface="+mn-ea"/>
              <a:cs typeface="+mn-cs"/>
            </a:rPr>
            <a:t>3. Investigate July decline to identify demand or operational issues. </a:t>
          </a:r>
        </a:p>
        <a:p>
          <a:pPr algn="l"/>
          <a:r>
            <a:rPr lang="en-US" sz="1050" b="1">
              <a:solidFill>
                <a:schemeClr val="lt1"/>
              </a:solidFill>
              <a:effectLst/>
              <a:latin typeface="Garamond" panose="02020404030301010803" pitchFamily="18" charset="0"/>
              <a:ea typeface="+mn-ea"/>
              <a:cs typeface="+mn-cs"/>
            </a:rPr>
            <a:t>4. Prioritize corporate customer retention through targeted sales strategies. </a:t>
          </a:r>
        </a:p>
        <a:p>
          <a:pPr algn="l"/>
          <a:r>
            <a:rPr lang="en-US" sz="1050" b="1">
              <a:solidFill>
                <a:schemeClr val="lt1"/>
              </a:solidFill>
              <a:effectLst/>
              <a:latin typeface="Garamond" panose="02020404030301010803" pitchFamily="18" charset="0"/>
              <a:ea typeface="+mn-ea"/>
              <a:cs typeface="+mn-cs"/>
            </a:rPr>
            <a:t>5. Improve product availability and replicate top salesperson practices. </a:t>
          </a:r>
          <a:endParaRPr lang="en-US" sz="1050" b="1">
            <a:latin typeface="Garamond" panose="02020404030301010803" pitchFamily="18" charset="0"/>
          </a:endParaRPr>
        </a:p>
      </xdr:txBody>
    </xdr:sp>
    <xdr:clientData/>
  </xdr:twoCellAnchor>
  <xdr:twoCellAnchor>
    <xdr:from>
      <xdr:col>9</xdr:col>
      <xdr:colOff>205740</xdr:colOff>
      <xdr:row>15</xdr:row>
      <xdr:rowOff>129540</xdr:rowOff>
    </xdr:from>
    <xdr:to>
      <xdr:col>13</xdr:col>
      <xdr:colOff>327660</xdr:colOff>
      <xdr:row>24</xdr:row>
      <xdr:rowOff>99060</xdr:rowOff>
    </xdr:to>
    <xdr:graphicFrame macro="">
      <xdr:nvGraphicFramePr>
        <xdr:cNvPr id="43" name="Chart 42">
          <a:extLst>
            <a:ext uri="{FF2B5EF4-FFF2-40B4-BE49-F238E27FC236}">
              <a16:creationId xmlns:a16="http://schemas.microsoft.com/office/drawing/2014/main" id="{5DE9872B-6D47-49A8-A639-E27A24953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449580</xdr:colOff>
      <xdr:row>15</xdr:row>
      <xdr:rowOff>114300</xdr:rowOff>
    </xdr:from>
    <xdr:to>
      <xdr:col>18</xdr:col>
      <xdr:colOff>38100</xdr:colOff>
      <xdr:row>24</xdr:row>
      <xdr:rowOff>175260</xdr:rowOff>
    </xdr:to>
    <xdr:graphicFrame macro="">
      <xdr:nvGraphicFramePr>
        <xdr:cNvPr id="44" name="Chart 43">
          <a:extLst>
            <a:ext uri="{FF2B5EF4-FFF2-40B4-BE49-F238E27FC236}">
              <a16:creationId xmlns:a16="http://schemas.microsoft.com/office/drawing/2014/main" id="{52CCA85E-F5E2-4DBF-B7D5-7DB4C3B42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182880</xdr:colOff>
      <xdr:row>0</xdr:row>
      <xdr:rowOff>53340</xdr:rowOff>
    </xdr:from>
    <xdr:to>
      <xdr:col>14</xdr:col>
      <xdr:colOff>205740</xdr:colOff>
      <xdr:row>5</xdr:row>
      <xdr:rowOff>175260</xdr:rowOff>
    </xdr:to>
    <xdr:sp macro="" textlink="">
      <xdr:nvSpPr>
        <xdr:cNvPr id="45" name="Rectangle: Rounded Corners 44">
          <a:extLst>
            <a:ext uri="{FF2B5EF4-FFF2-40B4-BE49-F238E27FC236}">
              <a16:creationId xmlns:a16="http://schemas.microsoft.com/office/drawing/2014/main" id="{34714A3B-C54D-4DF9-8F24-3C8D7CD1B8E6}"/>
            </a:ext>
          </a:extLst>
        </xdr:cNvPr>
        <xdr:cNvSpPr/>
      </xdr:nvSpPr>
      <xdr:spPr>
        <a:xfrm>
          <a:off x="6278880" y="53340"/>
          <a:ext cx="2461260" cy="1036320"/>
        </a:xfrm>
        <a:prstGeom prst="roundRect">
          <a:avLst/>
        </a:prstGeom>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228600</xdr:colOff>
      <xdr:row>0</xdr:row>
      <xdr:rowOff>45721</xdr:rowOff>
    </xdr:from>
    <xdr:to>
      <xdr:col>16</xdr:col>
      <xdr:colOff>99060</xdr:colOff>
      <xdr:row>6</xdr:row>
      <xdr:rowOff>1</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34B3C1B3-AA05-EB9F-0265-50C5453302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63000" y="45721"/>
              <a:ext cx="108966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0</xdr:row>
      <xdr:rowOff>45721</xdr:rowOff>
    </xdr:from>
    <xdr:to>
      <xdr:col>17</xdr:col>
      <xdr:colOff>594360</xdr:colOff>
      <xdr:row>6</xdr:row>
      <xdr:rowOff>7621</xdr:rowOff>
    </xdr:to>
    <mc:AlternateContent xmlns:mc="http://schemas.openxmlformats.org/markup-compatibility/2006" xmlns:a14="http://schemas.microsoft.com/office/drawing/2010/main">
      <mc:Choice Requires="a14">
        <xdr:graphicFrame macro="">
          <xdr:nvGraphicFramePr>
            <xdr:cNvPr id="47" name="Order Month">
              <a:extLst>
                <a:ext uri="{FF2B5EF4-FFF2-40B4-BE49-F238E27FC236}">
                  <a16:creationId xmlns:a16="http://schemas.microsoft.com/office/drawing/2014/main" id="{5A22741D-9917-EC2E-86F9-9FFC3C1DB1F1}"/>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9867900" y="45721"/>
              <a:ext cx="1089660" cy="1059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464820</xdr:colOff>
      <xdr:row>6</xdr:row>
      <xdr:rowOff>68580</xdr:rowOff>
    </xdr:from>
    <xdr:to>
      <xdr:col>18</xdr:col>
      <xdr:colOff>30480</xdr:colOff>
      <xdr:row>15</xdr:row>
      <xdr:rowOff>22860</xdr:rowOff>
    </xdr:to>
    <xdr:graphicFrame macro="">
      <xdr:nvGraphicFramePr>
        <xdr:cNvPr id="10" name="Chart 9">
          <a:extLst>
            <a:ext uri="{FF2B5EF4-FFF2-40B4-BE49-F238E27FC236}">
              <a16:creationId xmlns:a16="http://schemas.microsoft.com/office/drawing/2014/main" id="{268FC1F9-FB36-49EA-B74B-24CC63234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449580</xdr:colOff>
      <xdr:row>0</xdr:row>
      <xdr:rowOff>0</xdr:rowOff>
    </xdr:from>
    <xdr:to>
      <xdr:col>14</xdr:col>
      <xdr:colOff>167640</xdr:colOff>
      <xdr:row>6</xdr:row>
      <xdr:rowOff>7620</xdr:rowOff>
    </xdr:to>
    <xdr:graphicFrame macro="">
      <xdr:nvGraphicFramePr>
        <xdr:cNvPr id="11" name="Chart 10">
          <a:extLst>
            <a:ext uri="{FF2B5EF4-FFF2-40B4-BE49-F238E27FC236}">
              <a16:creationId xmlns:a16="http://schemas.microsoft.com/office/drawing/2014/main" id="{2B63D87C-DFD6-4E16-A06C-7F87FD614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76200</xdr:colOff>
      <xdr:row>15</xdr:row>
      <xdr:rowOff>152400</xdr:rowOff>
    </xdr:from>
    <xdr:to>
      <xdr:col>1</xdr:col>
      <xdr:colOff>320040</xdr:colOff>
      <xdr:row>17</xdr:row>
      <xdr:rowOff>30480</xdr:rowOff>
    </xdr:to>
    <xdr:pic>
      <xdr:nvPicPr>
        <xdr:cNvPr id="13" name="Picture 12">
          <a:extLst>
            <a:ext uri="{FF2B5EF4-FFF2-40B4-BE49-F238E27FC236}">
              <a16:creationId xmlns:a16="http://schemas.microsoft.com/office/drawing/2014/main" id="{B7369700-ED8F-84A6-3DF6-0A742BA1957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85800" y="2895600"/>
          <a:ext cx="243840" cy="243840"/>
        </a:xfrm>
        <a:prstGeom prst="rect">
          <a:avLst/>
        </a:prstGeom>
      </xdr:spPr>
    </xdr:pic>
    <xdr:clientData/>
  </xdr:twoCellAnchor>
  <xdr:twoCellAnchor editAs="oneCell">
    <xdr:from>
      <xdr:col>5</xdr:col>
      <xdr:colOff>100637</xdr:colOff>
      <xdr:row>15</xdr:row>
      <xdr:rowOff>129541</xdr:rowOff>
    </xdr:from>
    <xdr:to>
      <xdr:col>5</xdr:col>
      <xdr:colOff>548641</xdr:colOff>
      <xdr:row>17</xdr:row>
      <xdr:rowOff>0</xdr:rowOff>
    </xdr:to>
    <xdr:pic>
      <xdr:nvPicPr>
        <xdr:cNvPr id="16" name="Picture 15">
          <a:extLst>
            <a:ext uri="{FF2B5EF4-FFF2-40B4-BE49-F238E27FC236}">
              <a16:creationId xmlns:a16="http://schemas.microsoft.com/office/drawing/2014/main" id="{8191BA11-449A-E6D3-A2C9-723B80609490}"/>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t="28758"/>
        <a:stretch/>
      </xdr:blipFill>
      <xdr:spPr>
        <a:xfrm>
          <a:off x="3148637" y="2872741"/>
          <a:ext cx="448004" cy="236219"/>
        </a:xfrm>
        <a:prstGeom prst="rect">
          <a:avLst/>
        </a:prstGeom>
      </xdr:spPr>
    </xdr:pic>
    <xdr:clientData/>
  </xdr:twoCellAnchor>
  <xdr:twoCellAnchor editAs="oneCell">
    <xdr:from>
      <xdr:col>9</xdr:col>
      <xdr:colOff>266700</xdr:colOff>
      <xdr:row>16</xdr:row>
      <xdr:rowOff>15240</xdr:rowOff>
    </xdr:from>
    <xdr:to>
      <xdr:col>10</xdr:col>
      <xdr:colOff>14732</xdr:colOff>
      <xdr:row>17</xdr:row>
      <xdr:rowOff>76200</xdr:rowOff>
    </xdr:to>
    <xdr:pic>
      <xdr:nvPicPr>
        <xdr:cNvPr id="20" name="Picture 19">
          <a:extLst>
            <a:ext uri="{FF2B5EF4-FFF2-40B4-BE49-F238E27FC236}">
              <a16:creationId xmlns:a16="http://schemas.microsoft.com/office/drawing/2014/main" id="{A3987570-136E-4740-70C2-1616A4A2CB8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753100" y="2941320"/>
          <a:ext cx="357632" cy="243840"/>
        </a:xfrm>
        <a:prstGeom prst="rect">
          <a:avLst/>
        </a:prstGeom>
      </xdr:spPr>
    </xdr:pic>
    <xdr:clientData/>
  </xdr:twoCellAnchor>
  <xdr:twoCellAnchor editAs="oneCell">
    <xdr:from>
      <xdr:col>14</xdr:col>
      <xdr:colOff>198120</xdr:colOff>
      <xdr:row>15</xdr:row>
      <xdr:rowOff>156956</xdr:rowOff>
    </xdr:from>
    <xdr:to>
      <xdr:col>14</xdr:col>
      <xdr:colOff>472440</xdr:colOff>
      <xdr:row>17</xdr:row>
      <xdr:rowOff>22860</xdr:rowOff>
    </xdr:to>
    <xdr:pic>
      <xdr:nvPicPr>
        <xdr:cNvPr id="24" name="Picture 23">
          <a:extLst>
            <a:ext uri="{FF2B5EF4-FFF2-40B4-BE49-F238E27FC236}">
              <a16:creationId xmlns:a16="http://schemas.microsoft.com/office/drawing/2014/main" id="{824233A2-B805-433D-8425-623C971ADC9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732520" y="2900156"/>
          <a:ext cx="274320" cy="231664"/>
        </a:xfrm>
        <a:prstGeom prst="rect">
          <a:avLst/>
        </a:prstGeom>
      </xdr:spPr>
    </xdr:pic>
    <xdr:clientData/>
  </xdr:twoCellAnchor>
  <xdr:twoCellAnchor editAs="oneCell">
    <xdr:from>
      <xdr:col>13</xdr:col>
      <xdr:colOff>594360</xdr:colOff>
      <xdr:row>7</xdr:row>
      <xdr:rowOff>160020</xdr:rowOff>
    </xdr:from>
    <xdr:to>
      <xdr:col>14</xdr:col>
      <xdr:colOff>304800</xdr:colOff>
      <xdr:row>9</xdr:row>
      <xdr:rowOff>22860</xdr:rowOff>
    </xdr:to>
    <xdr:pic>
      <xdr:nvPicPr>
        <xdr:cNvPr id="26" name="Picture 25">
          <a:extLst>
            <a:ext uri="{FF2B5EF4-FFF2-40B4-BE49-F238E27FC236}">
              <a16:creationId xmlns:a16="http://schemas.microsoft.com/office/drawing/2014/main" id="{348FE4A9-B57D-B3F2-A0F0-FA708A3ED7A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519160" y="1440180"/>
          <a:ext cx="320040" cy="228600"/>
        </a:xfrm>
        <a:prstGeom prst="rect">
          <a:avLst/>
        </a:prstGeom>
      </xdr:spPr>
    </xdr:pic>
    <xdr:clientData/>
  </xdr:twoCellAnchor>
  <xdr:twoCellAnchor editAs="oneCell">
    <xdr:from>
      <xdr:col>10</xdr:col>
      <xdr:colOff>480060</xdr:colOff>
      <xdr:row>0</xdr:row>
      <xdr:rowOff>60960</xdr:rowOff>
    </xdr:from>
    <xdr:to>
      <xdr:col>11</xdr:col>
      <xdr:colOff>129540</xdr:colOff>
      <xdr:row>1</xdr:row>
      <xdr:rowOff>137160</xdr:rowOff>
    </xdr:to>
    <xdr:pic>
      <xdr:nvPicPr>
        <xdr:cNvPr id="28" name="Picture 27">
          <a:extLst>
            <a:ext uri="{FF2B5EF4-FFF2-40B4-BE49-F238E27FC236}">
              <a16:creationId xmlns:a16="http://schemas.microsoft.com/office/drawing/2014/main" id="{29733694-8829-78D0-6687-9BDD71DEB1B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576060" y="60960"/>
          <a:ext cx="259080" cy="2590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3.590690625002" createdVersion="8" refreshedVersion="8" minRefreshableVersion="3" recordCount="500" xr:uid="{21AFCFF0-DA63-4A33-A2D8-0B37C49845F8}">
  <cacheSource type="worksheet">
    <worksheetSource name="Sales_Data"/>
  </cacheSource>
  <cacheFields count="16">
    <cacheField name="Order ID" numFmtId="0">
      <sharedItems count="5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haredItems>
    </cacheField>
    <cacheField name="Region" numFmtId="0">
      <sharedItems count="4">
        <s v="South"/>
        <s v="North"/>
        <s v="West"/>
        <s v="East"/>
      </sharedItems>
    </cacheField>
    <cacheField name="Salesperson" numFmtId="0">
      <sharedItems count="8">
        <s v="Mary"/>
        <s v="Sarah"/>
        <s v="Grace"/>
        <s v="Michael"/>
        <s v="John"/>
        <s v="Linda"/>
        <s v="David"/>
        <s v="James"/>
      </sharedItems>
    </cacheField>
    <cacheField name="Product Category" numFmtId="0">
      <sharedItems count="4">
        <s v="Electronics"/>
        <s v="Office Equipment"/>
        <s v="Furniture"/>
        <s v="Stationery"/>
      </sharedItems>
    </cacheField>
    <cacheField name="Product" numFmtId="0">
      <sharedItems count="20">
        <s v="Laptop"/>
        <s v="Printer"/>
        <s v="Photocopier"/>
        <s v="Bookshelf"/>
        <s v="Projector"/>
        <s v="Office Chair"/>
        <s v="Tablet"/>
        <s v="Scanner"/>
        <s v="Cabinet"/>
        <s v="Keyboard"/>
        <s v="Desk"/>
        <s v="Smartphone"/>
        <s v="Conference Table"/>
        <s v="Monitor"/>
        <s v="Notebook"/>
        <s v="File Folder"/>
        <s v="Pen Pack"/>
        <s v="Printer Paper"/>
        <s v="Stapler"/>
        <s v="Shredder"/>
      </sharedItems>
    </cacheField>
    <cacheField name="Units Sold" numFmtId="0">
      <sharedItems containsSemiMixedTypes="0" containsString="0" containsNumber="1" containsInteger="1" minValue="1" maxValue="50"/>
    </cacheField>
    <cacheField name="Unit Price" numFmtId="164">
      <sharedItems containsSemiMixedTypes="0" containsString="0" containsNumber="1" containsInteger="1" minValue="2" maxValue="1477"/>
    </cacheField>
    <cacheField name="Total Revenue" numFmtId="164">
      <sharedItems containsSemiMixedTypes="0" containsString="0" containsNumber="1" containsInteger="1" minValue="18" maxValue="69041"/>
    </cacheField>
    <cacheField name="Customer Type" numFmtId="0">
      <sharedItems count="2">
        <s v="Corporate"/>
        <s v="Individual"/>
      </sharedItems>
    </cacheField>
    <cacheField name="Payment Method" numFmtId="0">
      <sharedItems count="3">
        <s v="Transfer"/>
        <s v="Cash"/>
        <s v="Card"/>
      </sharedItems>
    </cacheField>
    <cacheField name="Order Year" numFmtId="0">
      <sharedItems/>
    </cacheField>
    <cacheField name="Order Month" numFmtId="0">
      <sharedItems count="12">
        <s v="April"/>
        <s v="March"/>
        <s v="July"/>
        <s v="February"/>
        <s v="May"/>
        <s v="June"/>
        <s v="November"/>
        <s v="September"/>
        <s v="January"/>
        <s v="October"/>
        <s v="August"/>
        <s v="December"/>
      </sharedItems>
    </cacheField>
    <cacheField name="Order Date" numFmtId="14">
      <sharedItems containsSemiMixedTypes="0" containsNonDate="0" containsDate="1" containsString="0" minDate="2026-01-01T00:00:00" maxDate="2026-12-28T00:00:00"/>
    </cacheField>
    <cacheField name="Date of Birth" numFmtId="14">
      <sharedItems containsSemiMixedTypes="0" containsNonDate="0" containsDate="1" containsString="0" minDate="1965-01-10T00:00:00" maxDate="2005-12-18T00:00:00"/>
    </cacheField>
    <cacheField name="Age " numFmtId="0">
      <sharedItems containsSemiMixedTypes="0" containsString="0" containsNumber="1" containsInteger="1" minValue="20" maxValue="61"/>
    </cacheField>
    <cacheField name="Age Group" numFmtId="0">
      <sharedItems count="4">
        <s v="Senior"/>
        <s v="Adult"/>
        <s v="Young Adult"/>
        <s v="Elderly"/>
      </sharedItems>
    </cacheField>
  </cacheFields>
  <extLst>
    <ext xmlns:x14="http://schemas.microsoft.com/office/spreadsheetml/2009/9/main" uri="{725AE2AE-9491-48be-B2B4-4EB974FC3084}">
      <x14:pivotCacheDefinition pivotCacheId="12859391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48"/>
    <n v="663"/>
    <n v="31824"/>
    <x v="0"/>
    <x v="0"/>
    <s v="2026"/>
    <x v="0"/>
    <d v="2026-04-08T00:00:00"/>
    <d v="1993-09-07T00:00:00"/>
    <n v="32"/>
    <x v="0"/>
  </r>
  <r>
    <x v="1"/>
    <x v="1"/>
    <x v="1"/>
    <x v="1"/>
    <x v="1"/>
    <n v="2"/>
    <n v="271"/>
    <n v="542"/>
    <x v="1"/>
    <x v="1"/>
    <s v="2026"/>
    <x v="0"/>
    <d v="2026-04-08T00:00:00"/>
    <d v="1969-12-30T00:00:00"/>
    <n v="56"/>
    <x v="1"/>
  </r>
  <r>
    <x v="2"/>
    <x v="2"/>
    <x v="2"/>
    <x v="1"/>
    <x v="2"/>
    <n v="18"/>
    <n v="93"/>
    <n v="1674"/>
    <x v="1"/>
    <x v="1"/>
    <s v="2026"/>
    <x v="1"/>
    <d v="2026-03-23T00:00:00"/>
    <d v="1966-02-14T00:00:00"/>
    <n v="60"/>
    <x v="1"/>
  </r>
  <r>
    <x v="3"/>
    <x v="3"/>
    <x v="2"/>
    <x v="2"/>
    <x v="3"/>
    <n v="7"/>
    <n v="144"/>
    <n v="1008"/>
    <x v="1"/>
    <x v="1"/>
    <s v="2026"/>
    <x v="2"/>
    <d v="2026-07-04T00:00:00"/>
    <d v="1998-04-07T00:00:00"/>
    <n v="28"/>
    <x v="2"/>
  </r>
  <r>
    <x v="4"/>
    <x v="3"/>
    <x v="2"/>
    <x v="1"/>
    <x v="2"/>
    <n v="8"/>
    <n v="855"/>
    <n v="6840"/>
    <x v="0"/>
    <x v="0"/>
    <s v="2026"/>
    <x v="3"/>
    <d v="2026-02-18T00:00:00"/>
    <d v="1977-05-04T00:00:00"/>
    <n v="48"/>
    <x v="1"/>
  </r>
  <r>
    <x v="5"/>
    <x v="0"/>
    <x v="0"/>
    <x v="0"/>
    <x v="0"/>
    <n v="43"/>
    <n v="566"/>
    <n v="24338"/>
    <x v="1"/>
    <x v="2"/>
    <s v="2026"/>
    <x v="4"/>
    <d v="2026-05-03T00:00:00"/>
    <d v="1975-12-27T00:00:00"/>
    <n v="50"/>
    <x v="1"/>
  </r>
  <r>
    <x v="6"/>
    <x v="3"/>
    <x v="0"/>
    <x v="1"/>
    <x v="4"/>
    <n v="11"/>
    <n v="838"/>
    <n v="9218"/>
    <x v="0"/>
    <x v="0"/>
    <s v="2026"/>
    <x v="5"/>
    <d v="2026-06-07T00:00:00"/>
    <d v="1975-01-06T00:00:00"/>
    <n v="51"/>
    <x v="1"/>
  </r>
  <r>
    <x v="7"/>
    <x v="0"/>
    <x v="2"/>
    <x v="2"/>
    <x v="5"/>
    <n v="30"/>
    <n v="438"/>
    <n v="13140"/>
    <x v="0"/>
    <x v="1"/>
    <s v="2026"/>
    <x v="4"/>
    <d v="2026-05-21T00:00:00"/>
    <d v="1971-04-06T00:00:00"/>
    <n v="55"/>
    <x v="1"/>
  </r>
  <r>
    <x v="8"/>
    <x v="3"/>
    <x v="1"/>
    <x v="0"/>
    <x v="6"/>
    <n v="26"/>
    <n v="648"/>
    <n v="16848"/>
    <x v="1"/>
    <x v="2"/>
    <s v="2026"/>
    <x v="3"/>
    <d v="2026-02-07T00:00:00"/>
    <d v="1998-01-14T00:00:00"/>
    <n v="28"/>
    <x v="2"/>
  </r>
  <r>
    <x v="9"/>
    <x v="3"/>
    <x v="3"/>
    <x v="1"/>
    <x v="7"/>
    <n v="17"/>
    <n v="365"/>
    <n v="6205"/>
    <x v="1"/>
    <x v="2"/>
    <s v="2026"/>
    <x v="0"/>
    <d v="2026-04-24T00:00:00"/>
    <d v="1969-08-07T00:00:00"/>
    <n v="56"/>
    <x v="1"/>
  </r>
  <r>
    <x v="10"/>
    <x v="1"/>
    <x v="0"/>
    <x v="2"/>
    <x v="5"/>
    <n v="33"/>
    <n v="555"/>
    <n v="18315"/>
    <x v="0"/>
    <x v="0"/>
    <s v="2026"/>
    <x v="3"/>
    <d v="2026-02-25T00:00:00"/>
    <d v="1995-05-11T00:00:00"/>
    <n v="30"/>
    <x v="2"/>
  </r>
  <r>
    <x v="11"/>
    <x v="2"/>
    <x v="4"/>
    <x v="2"/>
    <x v="8"/>
    <n v="39"/>
    <n v="115"/>
    <n v="4485"/>
    <x v="0"/>
    <x v="0"/>
    <s v="2026"/>
    <x v="2"/>
    <d v="2026-07-13T00:00:00"/>
    <d v="1998-03-24T00:00:00"/>
    <n v="28"/>
    <x v="2"/>
  </r>
  <r>
    <x v="12"/>
    <x v="1"/>
    <x v="4"/>
    <x v="0"/>
    <x v="9"/>
    <n v="49"/>
    <n v="646"/>
    <n v="31654"/>
    <x v="1"/>
    <x v="1"/>
    <s v="2026"/>
    <x v="6"/>
    <d v="2026-11-11T00:00:00"/>
    <d v="2005-01-08T00:00:00"/>
    <n v="21"/>
    <x v="2"/>
  </r>
  <r>
    <x v="13"/>
    <x v="0"/>
    <x v="0"/>
    <x v="1"/>
    <x v="1"/>
    <n v="47"/>
    <n v="619"/>
    <n v="29093"/>
    <x v="1"/>
    <x v="0"/>
    <s v="2026"/>
    <x v="7"/>
    <d v="2026-09-25T00:00:00"/>
    <d v="1989-06-19T00:00:00"/>
    <n v="37"/>
    <x v="0"/>
  </r>
  <r>
    <x v="14"/>
    <x v="1"/>
    <x v="2"/>
    <x v="2"/>
    <x v="5"/>
    <n v="24"/>
    <n v="215"/>
    <n v="5160"/>
    <x v="1"/>
    <x v="1"/>
    <s v="2026"/>
    <x v="7"/>
    <d v="2026-09-25T00:00:00"/>
    <d v="1968-11-25T00:00:00"/>
    <n v="57"/>
    <x v="1"/>
  </r>
  <r>
    <x v="15"/>
    <x v="1"/>
    <x v="0"/>
    <x v="0"/>
    <x v="6"/>
    <n v="20"/>
    <n v="590"/>
    <n v="11800"/>
    <x v="1"/>
    <x v="1"/>
    <s v="2026"/>
    <x v="8"/>
    <d v="2026-01-08T00:00:00"/>
    <d v="1991-06-28T00:00:00"/>
    <n v="34"/>
    <x v="0"/>
  </r>
  <r>
    <x v="16"/>
    <x v="3"/>
    <x v="3"/>
    <x v="2"/>
    <x v="5"/>
    <n v="43"/>
    <n v="536"/>
    <n v="23048"/>
    <x v="0"/>
    <x v="0"/>
    <s v="2026"/>
    <x v="7"/>
    <d v="2026-09-06T00:00:00"/>
    <d v="1983-12-05T00:00:00"/>
    <n v="42"/>
    <x v="0"/>
  </r>
  <r>
    <x v="17"/>
    <x v="2"/>
    <x v="5"/>
    <x v="2"/>
    <x v="3"/>
    <n v="26"/>
    <n v="737"/>
    <n v="19162"/>
    <x v="0"/>
    <x v="1"/>
    <s v="2026"/>
    <x v="6"/>
    <d v="2026-11-12T00:00:00"/>
    <d v="1966-06-05T00:00:00"/>
    <n v="60"/>
    <x v="1"/>
  </r>
  <r>
    <x v="18"/>
    <x v="0"/>
    <x v="1"/>
    <x v="2"/>
    <x v="10"/>
    <n v="22"/>
    <n v="71"/>
    <n v="1562"/>
    <x v="0"/>
    <x v="1"/>
    <s v="2026"/>
    <x v="9"/>
    <d v="2026-10-18T00:00:00"/>
    <d v="1966-05-04T00:00:00"/>
    <n v="60"/>
    <x v="1"/>
  </r>
  <r>
    <x v="19"/>
    <x v="0"/>
    <x v="4"/>
    <x v="0"/>
    <x v="11"/>
    <n v="5"/>
    <n v="164"/>
    <n v="820"/>
    <x v="1"/>
    <x v="1"/>
    <s v="2026"/>
    <x v="5"/>
    <d v="2026-06-03T00:00:00"/>
    <d v="1969-03-16T00:00:00"/>
    <n v="57"/>
    <x v="1"/>
  </r>
  <r>
    <x v="20"/>
    <x v="2"/>
    <x v="3"/>
    <x v="2"/>
    <x v="12"/>
    <n v="37"/>
    <n v="534"/>
    <n v="19758"/>
    <x v="0"/>
    <x v="1"/>
    <s v="2026"/>
    <x v="0"/>
    <d v="2026-04-26T00:00:00"/>
    <d v="1974-10-23T00:00:00"/>
    <n v="51"/>
    <x v="1"/>
  </r>
  <r>
    <x v="21"/>
    <x v="1"/>
    <x v="0"/>
    <x v="0"/>
    <x v="13"/>
    <n v="23"/>
    <n v="967"/>
    <n v="22241"/>
    <x v="0"/>
    <x v="2"/>
    <s v="2026"/>
    <x v="2"/>
    <d v="2026-07-15T00:00:00"/>
    <d v="1975-06-09T00:00:00"/>
    <n v="51"/>
    <x v="1"/>
  </r>
  <r>
    <x v="22"/>
    <x v="2"/>
    <x v="6"/>
    <x v="3"/>
    <x v="14"/>
    <n v="16"/>
    <n v="14"/>
    <n v="224"/>
    <x v="1"/>
    <x v="1"/>
    <s v="2026"/>
    <x v="0"/>
    <d v="2026-04-18T00:00:00"/>
    <d v="1987-09-02T00:00:00"/>
    <n v="38"/>
    <x v="0"/>
  </r>
  <r>
    <x v="23"/>
    <x v="1"/>
    <x v="7"/>
    <x v="3"/>
    <x v="15"/>
    <n v="16"/>
    <n v="6"/>
    <n v="96"/>
    <x v="0"/>
    <x v="1"/>
    <s v="2026"/>
    <x v="10"/>
    <d v="2026-08-26T00:00:00"/>
    <d v="1992-01-03T00:00:00"/>
    <n v="34"/>
    <x v="0"/>
  </r>
  <r>
    <x v="24"/>
    <x v="2"/>
    <x v="7"/>
    <x v="2"/>
    <x v="5"/>
    <n v="27"/>
    <n v="547"/>
    <n v="14769"/>
    <x v="0"/>
    <x v="2"/>
    <s v="2026"/>
    <x v="10"/>
    <d v="2026-08-07T00:00:00"/>
    <d v="1966-03-11T00:00:00"/>
    <n v="60"/>
    <x v="1"/>
  </r>
  <r>
    <x v="25"/>
    <x v="2"/>
    <x v="6"/>
    <x v="0"/>
    <x v="13"/>
    <n v="17"/>
    <n v="1031"/>
    <n v="17527"/>
    <x v="0"/>
    <x v="2"/>
    <s v="2026"/>
    <x v="4"/>
    <d v="2026-05-14T00:00:00"/>
    <d v="1990-03-06T00:00:00"/>
    <n v="36"/>
    <x v="0"/>
  </r>
  <r>
    <x v="26"/>
    <x v="3"/>
    <x v="7"/>
    <x v="2"/>
    <x v="10"/>
    <n v="38"/>
    <n v="605"/>
    <n v="22990"/>
    <x v="0"/>
    <x v="0"/>
    <s v="2026"/>
    <x v="8"/>
    <d v="2026-01-24T00:00:00"/>
    <d v="1973-12-02T00:00:00"/>
    <n v="52"/>
    <x v="1"/>
  </r>
  <r>
    <x v="27"/>
    <x v="1"/>
    <x v="6"/>
    <x v="1"/>
    <x v="2"/>
    <n v="34"/>
    <n v="402"/>
    <n v="13668"/>
    <x v="0"/>
    <x v="0"/>
    <s v="2026"/>
    <x v="8"/>
    <d v="2026-01-17T00:00:00"/>
    <d v="1997-02-13T00:00:00"/>
    <n v="28"/>
    <x v="2"/>
  </r>
  <r>
    <x v="28"/>
    <x v="1"/>
    <x v="0"/>
    <x v="0"/>
    <x v="11"/>
    <n v="26"/>
    <n v="345"/>
    <n v="8970"/>
    <x v="1"/>
    <x v="0"/>
    <s v="2026"/>
    <x v="9"/>
    <d v="2026-10-08T00:00:00"/>
    <d v="1994-02-25T00:00:00"/>
    <n v="32"/>
    <x v="0"/>
  </r>
  <r>
    <x v="29"/>
    <x v="0"/>
    <x v="4"/>
    <x v="3"/>
    <x v="16"/>
    <n v="14"/>
    <n v="44"/>
    <n v="616"/>
    <x v="1"/>
    <x v="1"/>
    <s v="2026"/>
    <x v="11"/>
    <d v="2026-12-11T00:00:00"/>
    <d v="1996-06-17T00:00:00"/>
    <n v="30"/>
    <x v="2"/>
  </r>
  <r>
    <x v="30"/>
    <x v="2"/>
    <x v="0"/>
    <x v="3"/>
    <x v="15"/>
    <n v="21"/>
    <n v="50"/>
    <n v="1050"/>
    <x v="0"/>
    <x v="0"/>
    <s v="2026"/>
    <x v="3"/>
    <d v="2026-02-01T00:00:00"/>
    <d v="1989-06-12T00:00:00"/>
    <n v="36"/>
    <x v="0"/>
  </r>
  <r>
    <x v="31"/>
    <x v="0"/>
    <x v="2"/>
    <x v="2"/>
    <x v="12"/>
    <n v="17"/>
    <n v="185"/>
    <n v="3145"/>
    <x v="1"/>
    <x v="1"/>
    <s v="2026"/>
    <x v="5"/>
    <d v="2026-06-03T00:00:00"/>
    <d v="1983-10-27T00:00:00"/>
    <n v="42"/>
    <x v="0"/>
  </r>
  <r>
    <x v="32"/>
    <x v="1"/>
    <x v="4"/>
    <x v="1"/>
    <x v="2"/>
    <n v="46"/>
    <n v="699"/>
    <n v="32154"/>
    <x v="0"/>
    <x v="1"/>
    <s v="2026"/>
    <x v="9"/>
    <d v="2026-10-26T00:00:00"/>
    <d v="1974-11-21T00:00:00"/>
    <n v="51"/>
    <x v="1"/>
  </r>
  <r>
    <x v="33"/>
    <x v="3"/>
    <x v="4"/>
    <x v="3"/>
    <x v="14"/>
    <n v="7"/>
    <n v="49"/>
    <n v="343"/>
    <x v="0"/>
    <x v="0"/>
    <s v="2026"/>
    <x v="7"/>
    <d v="2026-09-05T00:00:00"/>
    <d v="1985-02-24T00:00:00"/>
    <n v="41"/>
    <x v="0"/>
  </r>
  <r>
    <x v="34"/>
    <x v="2"/>
    <x v="4"/>
    <x v="3"/>
    <x v="17"/>
    <n v="44"/>
    <n v="42"/>
    <n v="1848"/>
    <x v="0"/>
    <x v="1"/>
    <s v="2026"/>
    <x v="4"/>
    <d v="2026-05-17T00:00:00"/>
    <d v="1991-06-08T00:00:00"/>
    <n v="34"/>
    <x v="0"/>
  </r>
  <r>
    <x v="35"/>
    <x v="0"/>
    <x v="4"/>
    <x v="1"/>
    <x v="4"/>
    <n v="3"/>
    <n v="87"/>
    <n v="261"/>
    <x v="0"/>
    <x v="0"/>
    <s v="2026"/>
    <x v="5"/>
    <d v="2026-06-25T00:00:00"/>
    <d v="1977-06-24T00:00:00"/>
    <n v="49"/>
    <x v="1"/>
  </r>
  <r>
    <x v="36"/>
    <x v="1"/>
    <x v="0"/>
    <x v="1"/>
    <x v="2"/>
    <n v="46"/>
    <n v="955"/>
    <n v="43930"/>
    <x v="0"/>
    <x v="0"/>
    <s v="2026"/>
    <x v="7"/>
    <d v="2026-09-01T00:00:00"/>
    <d v="2001-04-23T00:00:00"/>
    <n v="25"/>
    <x v="2"/>
  </r>
  <r>
    <x v="37"/>
    <x v="1"/>
    <x v="4"/>
    <x v="0"/>
    <x v="6"/>
    <n v="38"/>
    <n v="403"/>
    <n v="15314"/>
    <x v="1"/>
    <x v="1"/>
    <s v="2026"/>
    <x v="2"/>
    <d v="2026-07-05T00:00:00"/>
    <d v="2003-12-30T00:00:00"/>
    <n v="22"/>
    <x v="2"/>
  </r>
  <r>
    <x v="38"/>
    <x v="3"/>
    <x v="3"/>
    <x v="3"/>
    <x v="17"/>
    <n v="44"/>
    <n v="17"/>
    <n v="748"/>
    <x v="0"/>
    <x v="1"/>
    <s v="2026"/>
    <x v="6"/>
    <d v="2026-11-04T00:00:00"/>
    <d v="1965-04-17T00:00:00"/>
    <n v="61"/>
    <x v="3"/>
  </r>
  <r>
    <x v="39"/>
    <x v="3"/>
    <x v="3"/>
    <x v="2"/>
    <x v="5"/>
    <n v="27"/>
    <n v="75"/>
    <n v="2025"/>
    <x v="0"/>
    <x v="2"/>
    <s v="2026"/>
    <x v="1"/>
    <d v="2026-03-24T00:00:00"/>
    <d v="1999-01-15T00:00:00"/>
    <n v="27"/>
    <x v="2"/>
  </r>
  <r>
    <x v="40"/>
    <x v="0"/>
    <x v="5"/>
    <x v="2"/>
    <x v="10"/>
    <n v="25"/>
    <n v="89"/>
    <n v="2225"/>
    <x v="1"/>
    <x v="2"/>
    <s v="2026"/>
    <x v="10"/>
    <d v="2026-08-08T00:00:00"/>
    <d v="2001-02-23T00:00:00"/>
    <n v="25"/>
    <x v="2"/>
  </r>
  <r>
    <x v="41"/>
    <x v="3"/>
    <x v="4"/>
    <x v="2"/>
    <x v="5"/>
    <n v="2"/>
    <n v="725"/>
    <n v="1450"/>
    <x v="0"/>
    <x v="2"/>
    <s v="2026"/>
    <x v="0"/>
    <d v="2026-04-13T00:00:00"/>
    <d v="1972-02-29T00:00:00"/>
    <n v="54"/>
    <x v="1"/>
  </r>
  <r>
    <x v="42"/>
    <x v="1"/>
    <x v="0"/>
    <x v="3"/>
    <x v="18"/>
    <n v="26"/>
    <n v="45"/>
    <n v="1170"/>
    <x v="1"/>
    <x v="1"/>
    <s v="2026"/>
    <x v="7"/>
    <d v="2026-09-11T00:00:00"/>
    <d v="1996-04-26T00:00:00"/>
    <n v="30"/>
    <x v="2"/>
  </r>
  <r>
    <x v="43"/>
    <x v="3"/>
    <x v="3"/>
    <x v="3"/>
    <x v="14"/>
    <n v="7"/>
    <n v="40"/>
    <n v="280"/>
    <x v="0"/>
    <x v="2"/>
    <s v="2026"/>
    <x v="2"/>
    <d v="2026-07-12T00:00:00"/>
    <d v="1983-12-17T00:00:00"/>
    <n v="42"/>
    <x v="0"/>
  </r>
  <r>
    <x v="44"/>
    <x v="0"/>
    <x v="2"/>
    <x v="2"/>
    <x v="3"/>
    <n v="3"/>
    <n v="775"/>
    <n v="2325"/>
    <x v="1"/>
    <x v="1"/>
    <s v="2026"/>
    <x v="2"/>
    <d v="2026-07-01T00:00:00"/>
    <d v="1980-04-06T00:00:00"/>
    <n v="46"/>
    <x v="1"/>
  </r>
  <r>
    <x v="45"/>
    <x v="3"/>
    <x v="4"/>
    <x v="3"/>
    <x v="18"/>
    <n v="21"/>
    <n v="44"/>
    <n v="924"/>
    <x v="1"/>
    <x v="2"/>
    <s v="2026"/>
    <x v="3"/>
    <d v="2026-02-24T00:00:00"/>
    <d v="1977-06-19T00:00:00"/>
    <n v="48"/>
    <x v="1"/>
  </r>
  <r>
    <x v="46"/>
    <x v="2"/>
    <x v="6"/>
    <x v="1"/>
    <x v="4"/>
    <n v="36"/>
    <n v="340"/>
    <n v="12240"/>
    <x v="1"/>
    <x v="2"/>
    <s v="2026"/>
    <x v="0"/>
    <d v="2026-04-14T00:00:00"/>
    <d v="1971-12-23T00:00:00"/>
    <n v="54"/>
    <x v="1"/>
  </r>
  <r>
    <x v="47"/>
    <x v="3"/>
    <x v="5"/>
    <x v="0"/>
    <x v="6"/>
    <n v="19"/>
    <n v="530"/>
    <n v="10070"/>
    <x v="1"/>
    <x v="2"/>
    <s v="2026"/>
    <x v="2"/>
    <d v="2026-07-26T00:00:00"/>
    <d v="1974-08-29T00:00:00"/>
    <n v="51"/>
    <x v="1"/>
  </r>
  <r>
    <x v="48"/>
    <x v="3"/>
    <x v="2"/>
    <x v="2"/>
    <x v="12"/>
    <n v="31"/>
    <n v="223"/>
    <n v="6913"/>
    <x v="0"/>
    <x v="1"/>
    <s v="2026"/>
    <x v="6"/>
    <d v="2026-11-03T00:00:00"/>
    <d v="1999-04-02T00:00:00"/>
    <n v="27"/>
    <x v="2"/>
  </r>
  <r>
    <x v="49"/>
    <x v="0"/>
    <x v="5"/>
    <x v="3"/>
    <x v="17"/>
    <n v="13"/>
    <n v="11"/>
    <n v="143"/>
    <x v="0"/>
    <x v="2"/>
    <s v="2026"/>
    <x v="8"/>
    <d v="2026-01-02T00:00:00"/>
    <d v="1980-02-06T00:00:00"/>
    <n v="45"/>
    <x v="0"/>
  </r>
  <r>
    <x v="50"/>
    <x v="0"/>
    <x v="6"/>
    <x v="1"/>
    <x v="2"/>
    <n v="13"/>
    <n v="866"/>
    <n v="11258"/>
    <x v="0"/>
    <x v="1"/>
    <s v="2026"/>
    <x v="10"/>
    <d v="2026-08-13T00:00:00"/>
    <d v="1969-08-02T00:00:00"/>
    <n v="57"/>
    <x v="1"/>
  </r>
  <r>
    <x v="51"/>
    <x v="0"/>
    <x v="0"/>
    <x v="1"/>
    <x v="7"/>
    <n v="12"/>
    <n v="1140"/>
    <n v="13680"/>
    <x v="1"/>
    <x v="1"/>
    <s v="2026"/>
    <x v="10"/>
    <d v="2026-08-02T00:00:00"/>
    <d v="1969-02-28T00:00:00"/>
    <n v="57"/>
    <x v="1"/>
  </r>
  <r>
    <x v="52"/>
    <x v="2"/>
    <x v="3"/>
    <x v="1"/>
    <x v="2"/>
    <n v="36"/>
    <n v="1299"/>
    <n v="46764"/>
    <x v="1"/>
    <x v="1"/>
    <s v="2026"/>
    <x v="5"/>
    <d v="2026-06-25T00:00:00"/>
    <d v="1982-01-16T00:00:00"/>
    <n v="44"/>
    <x v="0"/>
  </r>
  <r>
    <x v="53"/>
    <x v="2"/>
    <x v="1"/>
    <x v="1"/>
    <x v="19"/>
    <n v="17"/>
    <n v="586"/>
    <n v="9962"/>
    <x v="1"/>
    <x v="2"/>
    <s v="2026"/>
    <x v="6"/>
    <d v="2026-11-09T00:00:00"/>
    <d v="1969-05-04T00:00:00"/>
    <n v="57"/>
    <x v="1"/>
  </r>
  <r>
    <x v="54"/>
    <x v="1"/>
    <x v="6"/>
    <x v="0"/>
    <x v="6"/>
    <n v="16"/>
    <n v="656"/>
    <n v="10496"/>
    <x v="0"/>
    <x v="1"/>
    <s v="2026"/>
    <x v="5"/>
    <d v="2026-06-11T00:00:00"/>
    <d v="1981-02-07T00:00:00"/>
    <n v="45"/>
    <x v="0"/>
  </r>
  <r>
    <x v="55"/>
    <x v="2"/>
    <x v="2"/>
    <x v="1"/>
    <x v="7"/>
    <n v="46"/>
    <n v="518"/>
    <n v="23828"/>
    <x v="1"/>
    <x v="2"/>
    <s v="2026"/>
    <x v="3"/>
    <d v="2026-02-14T00:00:00"/>
    <d v="2003-01-07T00:00:00"/>
    <n v="23"/>
    <x v="2"/>
  </r>
  <r>
    <x v="56"/>
    <x v="1"/>
    <x v="3"/>
    <x v="0"/>
    <x v="11"/>
    <n v="27"/>
    <n v="897"/>
    <n v="24219"/>
    <x v="1"/>
    <x v="1"/>
    <s v="2026"/>
    <x v="9"/>
    <d v="2026-10-23T00:00:00"/>
    <d v="1980-06-06T00:00:00"/>
    <n v="46"/>
    <x v="1"/>
  </r>
  <r>
    <x v="57"/>
    <x v="0"/>
    <x v="5"/>
    <x v="3"/>
    <x v="16"/>
    <n v="49"/>
    <n v="26"/>
    <n v="1274"/>
    <x v="0"/>
    <x v="2"/>
    <s v="2026"/>
    <x v="2"/>
    <d v="2026-07-18T00:00:00"/>
    <d v="1992-01-31T00:00:00"/>
    <n v="34"/>
    <x v="0"/>
  </r>
  <r>
    <x v="58"/>
    <x v="2"/>
    <x v="6"/>
    <x v="1"/>
    <x v="19"/>
    <n v="2"/>
    <n v="876"/>
    <n v="1752"/>
    <x v="1"/>
    <x v="1"/>
    <s v="2026"/>
    <x v="5"/>
    <d v="2026-06-22T00:00:00"/>
    <d v="1976-11-12T00:00:00"/>
    <n v="49"/>
    <x v="1"/>
  </r>
  <r>
    <x v="59"/>
    <x v="2"/>
    <x v="6"/>
    <x v="0"/>
    <x v="13"/>
    <n v="38"/>
    <n v="155"/>
    <n v="5890"/>
    <x v="1"/>
    <x v="1"/>
    <s v="2026"/>
    <x v="3"/>
    <d v="2026-02-21T00:00:00"/>
    <d v="2001-03-16T00:00:00"/>
    <n v="24"/>
    <x v="2"/>
  </r>
  <r>
    <x v="60"/>
    <x v="3"/>
    <x v="2"/>
    <x v="0"/>
    <x v="6"/>
    <n v="25"/>
    <n v="770"/>
    <n v="19250"/>
    <x v="1"/>
    <x v="2"/>
    <s v="2026"/>
    <x v="0"/>
    <d v="2026-04-15T00:00:00"/>
    <d v="1966-12-13T00:00:00"/>
    <n v="59"/>
    <x v="1"/>
  </r>
  <r>
    <x v="61"/>
    <x v="1"/>
    <x v="2"/>
    <x v="1"/>
    <x v="4"/>
    <n v="6"/>
    <n v="1043"/>
    <n v="6258"/>
    <x v="0"/>
    <x v="0"/>
    <s v="2026"/>
    <x v="8"/>
    <d v="2026-01-24T00:00:00"/>
    <d v="1997-09-25T00:00:00"/>
    <n v="28"/>
    <x v="2"/>
  </r>
  <r>
    <x v="62"/>
    <x v="1"/>
    <x v="6"/>
    <x v="0"/>
    <x v="0"/>
    <n v="49"/>
    <n v="163"/>
    <n v="7987"/>
    <x v="0"/>
    <x v="1"/>
    <s v="2026"/>
    <x v="0"/>
    <d v="2026-04-07T00:00:00"/>
    <d v="1985-08-11T00:00:00"/>
    <n v="40"/>
    <x v="0"/>
  </r>
  <r>
    <x v="63"/>
    <x v="3"/>
    <x v="2"/>
    <x v="1"/>
    <x v="1"/>
    <n v="37"/>
    <n v="526"/>
    <n v="19462"/>
    <x v="0"/>
    <x v="0"/>
    <s v="2026"/>
    <x v="10"/>
    <d v="2026-08-23T00:00:00"/>
    <d v="1989-01-20T00:00:00"/>
    <n v="37"/>
    <x v="0"/>
  </r>
  <r>
    <x v="64"/>
    <x v="3"/>
    <x v="3"/>
    <x v="0"/>
    <x v="11"/>
    <n v="20"/>
    <n v="321"/>
    <n v="6420"/>
    <x v="1"/>
    <x v="0"/>
    <s v="2026"/>
    <x v="9"/>
    <d v="2026-10-01T00:00:00"/>
    <d v="1970-08-08T00:00:00"/>
    <n v="56"/>
    <x v="1"/>
  </r>
  <r>
    <x v="65"/>
    <x v="1"/>
    <x v="4"/>
    <x v="2"/>
    <x v="10"/>
    <n v="38"/>
    <n v="757"/>
    <n v="28766"/>
    <x v="0"/>
    <x v="0"/>
    <s v="2026"/>
    <x v="6"/>
    <d v="2026-11-08T00:00:00"/>
    <d v="1981-12-24T00:00:00"/>
    <n v="44"/>
    <x v="0"/>
  </r>
  <r>
    <x v="66"/>
    <x v="1"/>
    <x v="2"/>
    <x v="0"/>
    <x v="6"/>
    <n v="35"/>
    <n v="977"/>
    <n v="34195"/>
    <x v="0"/>
    <x v="2"/>
    <s v="2026"/>
    <x v="6"/>
    <d v="2026-11-12T00:00:00"/>
    <d v="1968-07-15T00:00:00"/>
    <n v="58"/>
    <x v="1"/>
  </r>
  <r>
    <x v="67"/>
    <x v="2"/>
    <x v="6"/>
    <x v="1"/>
    <x v="1"/>
    <n v="28"/>
    <n v="821"/>
    <n v="22988"/>
    <x v="1"/>
    <x v="1"/>
    <s v="2026"/>
    <x v="6"/>
    <d v="2026-11-27T00:00:00"/>
    <d v="1989-10-06T00:00:00"/>
    <n v="37"/>
    <x v="0"/>
  </r>
  <r>
    <x v="68"/>
    <x v="3"/>
    <x v="2"/>
    <x v="3"/>
    <x v="18"/>
    <n v="35"/>
    <n v="32"/>
    <n v="1120"/>
    <x v="0"/>
    <x v="1"/>
    <s v="2026"/>
    <x v="10"/>
    <d v="2026-08-14T00:00:00"/>
    <d v="1978-02-25T00:00:00"/>
    <n v="48"/>
    <x v="1"/>
  </r>
  <r>
    <x v="69"/>
    <x v="2"/>
    <x v="2"/>
    <x v="3"/>
    <x v="15"/>
    <n v="16"/>
    <n v="50"/>
    <n v="800"/>
    <x v="0"/>
    <x v="2"/>
    <s v="2026"/>
    <x v="10"/>
    <d v="2026-08-19T00:00:00"/>
    <d v="2002-03-16T00:00:00"/>
    <n v="24"/>
    <x v="2"/>
  </r>
  <r>
    <x v="70"/>
    <x v="3"/>
    <x v="2"/>
    <x v="3"/>
    <x v="17"/>
    <n v="32"/>
    <n v="15"/>
    <n v="480"/>
    <x v="1"/>
    <x v="0"/>
    <s v="2026"/>
    <x v="5"/>
    <d v="2026-06-26T00:00:00"/>
    <d v="1993-03-14T00:00:00"/>
    <n v="33"/>
    <x v="0"/>
  </r>
  <r>
    <x v="71"/>
    <x v="0"/>
    <x v="3"/>
    <x v="3"/>
    <x v="18"/>
    <n v="1"/>
    <n v="35"/>
    <n v="35"/>
    <x v="1"/>
    <x v="0"/>
    <s v="2026"/>
    <x v="0"/>
    <d v="2026-04-03T00:00:00"/>
    <d v="1992-09-29T00:00:00"/>
    <n v="33"/>
    <x v="0"/>
  </r>
  <r>
    <x v="72"/>
    <x v="1"/>
    <x v="0"/>
    <x v="2"/>
    <x v="8"/>
    <n v="42"/>
    <n v="778"/>
    <n v="32676"/>
    <x v="1"/>
    <x v="1"/>
    <s v="2026"/>
    <x v="10"/>
    <d v="2026-08-15T00:00:00"/>
    <d v="2004-09-20T00:00:00"/>
    <n v="21"/>
    <x v="2"/>
  </r>
  <r>
    <x v="73"/>
    <x v="2"/>
    <x v="2"/>
    <x v="1"/>
    <x v="7"/>
    <n v="20"/>
    <n v="1439"/>
    <n v="28780"/>
    <x v="1"/>
    <x v="0"/>
    <s v="2026"/>
    <x v="9"/>
    <d v="2026-10-12T00:00:00"/>
    <d v="2003-08-28T00:00:00"/>
    <n v="23"/>
    <x v="2"/>
  </r>
  <r>
    <x v="74"/>
    <x v="3"/>
    <x v="1"/>
    <x v="3"/>
    <x v="16"/>
    <n v="45"/>
    <n v="31"/>
    <n v="1395"/>
    <x v="0"/>
    <x v="0"/>
    <s v="2026"/>
    <x v="4"/>
    <d v="2026-05-10T00:00:00"/>
    <d v="1981-03-23T00:00:00"/>
    <n v="45"/>
    <x v="0"/>
  </r>
  <r>
    <x v="75"/>
    <x v="0"/>
    <x v="1"/>
    <x v="2"/>
    <x v="3"/>
    <n v="8"/>
    <n v="598"/>
    <n v="4784"/>
    <x v="1"/>
    <x v="2"/>
    <s v="2026"/>
    <x v="11"/>
    <d v="2026-12-06T00:00:00"/>
    <d v="1990-11-25T00:00:00"/>
    <n v="36"/>
    <x v="0"/>
  </r>
  <r>
    <x v="76"/>
    <x v="0"/>
    <x v="4"/>
    <x v="3"/>
    <x v="14"/>
    <n v="13"/>
    <n v="20"/>
    <n v="260"/>
    <x v="0"/>
    <x v="0"/>
    <s v="2026"/>
    <x v="0"/>
    <d v="2026-04-12T00:00:00"/>
    <d v="1973-08-17T00:00:00"/>
    <n v="52"/>
    <x v="1"/>
  </r>
  <r>
    <x v="77"/>
    <x v="0"/>
    <x v="5"/>
    <x v="2"/>
    <x v="3"/>
    <n v="3"/>
    <n v="105"/>
    <n v="315"/>
    <x v="0"/>
    <x v="1"/>
    <s v="2026"/>
    <x v="7"/>
    <d v="2026-09-10T00:00:00"/>
    <d v="1996-08-09T00:00:00"/>
    <n v="30"/>
    <x v="2"/>
  </r>
  <r>
    <x v="78"/>
    <x v="1"/>
    <x v="4"/>
    <x v="3"/>
    <x v="15"/>
    <n v="31"/>
    <n v="30"/>
    <n v="930"/>
    <x v="1"/>
    <x v="1"/>
    <s v="2026"/>
    <x v="5"/>
    <d v="2026-06-06T00:00:00"/>
    <d v="1968-02-14T00:00:00"/>
    <n v="58"/>
    <x v="1"/>
  </r>
  <r>
    <x v="79"/>
    <x v="1"/>
    <x v="6"/>
    <x v="0"/>
    <x v="13"/>
    <n v="32"/>
    <n v="251"/>
    <n v="8032"/>
    <x v="0"/>
    <x v="0"/>
    <s v="2026"/>
    <x v="9"/>
    <d v="2026-10-21T00:00:00"/>
    <d v="1967-01-21T00:00:00"/>
    <n v="59"/>
    <x v="1"/>
  </r>
  <r>
    <x v="80"/>
    <x v="2"/>
    <x v="1"/>
    <x v="3"/>
    <x v="14"/>
    <n v="16"/>
    <n v="9"/>
    <n v="144"/>
    <x v="1"/>
    <x v="2"/>
    <s v="2026"/>
    <x v="7"/>
    <d v="2026-09-25T00:00:00"/>
    <d v="1994-08-31T00:00:00"/>
    <n v="32"/>
    <x v="0"/>
  </r>
  <r>
    <x v="81"/>
    <x v="1"/>
    <x v="0"/>
    <x v="1"/>
    <x v="4"/>
    <n v="38"/>
    <n v="958"/>
    <n v="36404"/>
    <x v="0"/>
    <x v="0"/>
    <s v="2026"/>
    <x v="4"/>
    <d v="2026-05-19T00:00:00"/>
    <d v="1975-03-23T00:00:00"/>
    <n v="51"/>
    <x v="1"/>
  </r>
  <r>
    <x v="82"/>
    <x v="0"/>
    <x v="0"/>
    <x v="2"/>
    <x v="3"/>
    <n v="43"/>
    <n v="133"/>
    <n v="5719"/>
    <x v="0"/>
    <x v="1"/>
    <s v="2026"/>
    <x v="1"/>
    <d v="2026-03-08T00:00:00"/>
    <d v="1999-09-05T00:00:00"/>
    <n v="26"/>
    <x v="2"/>
  </r>
  <r>
    <x v="83"/>
    <x v="1"/>
    <x v="1"/>
    <x v="1"/>
    <x v="19"/>
    <n v="45"/>
    <n v="1296"/>
    <n v="58320"/>
    <x v="1"/>
    <x v="0"/>
    <s v="2026"/>
    <x v="10"/>
    <d v="2026-08-10T00:00:00"/>
    <d v="1977-12-25T00:00:00"/>
    <n v="48"/>
    <x v="1"/>
  </r>
  <r>
    <x v="84"/>
    <x v="0"/>
    <x v="3"/>
    <x v="3"/>
    <x v="15"/>
    <n v="5"/>
    <n v="45"/>
    <n v="225"/>
    <x v="0"/>
    <x v="0"/>
    <s v="2026"/>
    <x v="0"/>
    <d v="2026-04-09T00:00:00"/>
    <d v="1968-07-31T00:00:00"/>
    <n v="57"/>
    <x v="1"/>
  </r>
  <r>
    <x v="85"/>
    <x v="0"/>
    <x v="4"/>
    <x v="2"/>
    <x v="5"/>
    <n v="18"/>
    <n v="195"/>
    <n v="3510"/>
    <x v="1"/>
    <x v="2"/>
    <s v="2026"/>
    <x v="3"/>
    <d v="2026-02-02T00:00:00"/>
    <d v="2003-05-15T00:00:00"/>
    <n v="22"/>
    <x v="2"/>
  </r>
  <r>
    <x v="86"/>
    <x v="3"/>
    <x v="5"/>
    <x v="0"/>
    <x v="13"/>
    <n v="45"/>
    <n v="722"/>
    <n v="32490"/>
    <x v="1"/>
    <x v="1"/>
    <s v="2026"/>
    <x v="11"/>
    <d v="2026-12-13T00:00:00"/>
    <d v="1975-06-12T00:00:00"/>
    <n v="51"/>
    <x v="1"/>
  </r>
  <r>
    <x v="87"/>
    <x v="1"/>
    <x v="0"/>
    <x v="0"/>
    <x v="13"/>
    <n v="48"/>
    <n v="760"/>
    <n v="36480"/>
    <x v="0"/>
    <x v="0"/>
    <s v="2026"/>
    <x v="9"/>
    <d v="2026-10-09T00:00:00"/>
    <d v="2003-11-14T00:00:00"/>
    <n v="22"/>
    <x v="2"/>
  </r>
  <r>
    <x v="88"/>
    <x v="2"/>
    <x v="4"/>
    <x v="0"/>
    <x v="6"/>
    <n v="37"/>
    <n v="182"/>
    <n v="6734"/>
    <x v="0"/>
    <x v="0"/>
    <s v="2026"/>
    <x v="1"/>
    <d v="2026-03-16T00:00:00"/>
    <d v="1969-07-13T00:00:00"/>
    <n v="56"/>
    <x v="1"/>
  </r>
  <r>
    <x v="89"/>
    <x v="3"/>
    <x v="2"/>
    <x v="1"/>
    <x v="19"/>
    <n v="6"/>
    <n v="1042"/>
    <n v="6252"/>
    <x v="0"/>
    <x v="1"/>
    <s v="2026"/>
    <x v="5"/>
    <d v="2026-06-14T00:00:00"/>
    <d v="1982-01-19T00:00:00"/>
    <n v="44"/>
    <x v="0"/>
  </r>
  <r>
    <x v="90"/>
    <x v="2"/>
    <x v="7"/>
    <x v="3"/>
    <x v="15"/>
    <n v="45"/>
    <n v="33"/>
    <n v="1485"/>
    <x v="1"/>
    <x v="1"/>
    <s v="2026"/>
    <x v="4"/>
    <d v="2026-05-22T00:00:00"/>
    <d v="1977-06-21T00:00:00"/>
    <n v="48"/>
    <x v="1"/>
  </r>
  <r>
    <x v="91"/>
    <x v="1"/>
    <x v="5"/>
    <x v="3"/>
    <x v="16"/>
    <n v="21"/>
    <n v="9"/>
    <n v="189"/>
    <x v="1"/>
    <x v="1"/>
    <s v="2026"/>
    <x v="2"/>
    <d v="2026-07-28T00:00:00"/>
    <d v="1985-05-04T00:00:00"/>
    <n v="41"/>
    <x v="0"/>
  </r>
  <r>
    <x v="92"/>
    <x v="2"/>
    <x v="7"/>
    <x v="2"/>
    <x v="12"/>
    <n v="24"/>
    <n v="687"/>
    <n v="16488"/>
    <x v="0"/>
    <x v="2"/>
    <s v="2026"/>
    <x v="10"/>
    <d v="2026-08-21T00:00:00"/>
    <d v="1993-07-08T00:00:00"/>
    <n v="33"/>
    <x v="0"/>
  </r>
  <r>
    <x v="93"/>
    <x v="1"/>
    <x v="1"/>
    <x v="2"/>
    <x v="3"/>
    <n v="29"/>
    <n v="765"/>
    <n v="22185"/>
    <x v="0"/>
    <x v="2"/>
    <s v="2026"/>
    <x v="10"/>
    <d v="2026-08-04T00:00:00"/>
    <d v="2002-06-02T00:00:00"/>
    <n v="24"/>
    <x v="2"/>
  </r>
  <r>
    <x v="94"/>
    <x v="1"/>
    <x v="5"/>
    <x v="0"/>
    <x v="9"/>
    <n v="27"/>
    <n v="290"/>
    <n v="7830"/>
    <x v="0"/>
    <x v="0"/>
    <s v="2026"/>
    <x v="0"/>
    <d v="2026-04-27T00:00:00"/>
    <d v="1981-05-14T00:00:00"/>
    <n v="44"/>
    <x v="0"/>
  </r>
  <r>
    <x v="95"/>
    <x v="3"/>
    <x v="3"/>
    <x v="2"/>
    <x v="8"/>
    <n v="46"/>
    <n v="348"/>
    <n v="16008"/>
    <x v="1"/>
    <x v="2"/>
    <s v="2026"/>
    <x v="7"/>
    <d v="2026-09-23T00:00:00"/>
    <d v="1972-04-18T00:00:00"/>
    <n v="54"/>
    <x v="1"/>
  </r>
  <r>
    <x v="96"/>
    <x v="0"/>
    <x v="0"/>
    <x v="2"/>
    <x v="8"/>
    <n v="36"/>
    <n v="198"/>
    <n v="7128"/>
    <x v="1"/>
    <x v="2"/>
    <s v="2026"/>
    <x v="2"/>
    <d v="2026-07-07T00:00:00"/>
    <d v="1981-08-10T00:00:00"/>
    <n v="44"/>
    <x v="0"/>
  </r>
  <r>
    <x v="97"/>
    <x v="3"/>
    <x v="5"/>
    <x v="3"/>
    <x v="18"/>
    <n v="18"/>
    <n v="2"/>
    <n v="36"/>
    <x v="0"/>
    <x v="2"/>
    <s v="2026"/>
    <x v="4"/>
    <d v="2026-05-24T00:00:00"/>
    <d v="1980-12-08T00:00:00"/>
    <n v="45"/>
    <x v="0"/>
  </r>
  <r>
    <x v="98"/>
    <x v="2"/>
    <x v="2"/>
    <x v="1"/>
    <x v="4"/>
    <n v="22"/>
    <n v="1210"/>
    <n v="26620"/>
    <x v="0"/>
    <x v="0"/>
    <s v="2026"/>
    <x v="7"/>
    <d v="2026-09-13T00:00:00"/>
    <d v="1974-05-26T00:00:00"/>
    <n v="52"/>
    <x v="1"/>
  </r>
  <r>
    <x v="99"/>
    <x v="3"/>
    <x v="5"/>
    <x v="2"/>
    <x v="12"/>
    <n v="25"/>
    <n v="289"/>
    <n v="7225"/>
    <x v="1"/>
    <x v="2"/>
    <s v="2026"/>
    <x v="2"/>
    <d v="2026-07-02T00:00:00"/>
    <d v="1995-01-24T00:00:00"/>
    <n v="31"/>
    <x v="0"/>
  </r>
  <r>
    <x v="100"/>
    <x v="3"/>
    <x v="0"/>
    <x v="2"/>
    <x v="8"/>
    <n v="3"/>
    <n v="179"/>
    <n v="537"/>
    <x v="1"/>
    <x v="1"/>
    <s v="2026"/>
    <x v="7"/>
    <d v="2026-09-19T00:00:00"/>
    <d v="1976-12-23T00:00:00"/>
    <n v="49"/>
    <x v="1"/>
  </r>
  <r>
    <x v="101"/>
    <x v="0"/>
    <x v="0"/>
    <x v="1"/>
    <x v="1"/>
    <n v="47"/>
    <n v="375"/>
    <n v="17625"/>
    <x v="1"/>
    <x v="2"/>
    <s v="2026"/>
    <x v="2"/>
    <d v="2026-07-28T00:00:00"/>
    <d v="1996-06-25T00:00:00"/>
    <n v="30"/>
    <x v="2"/>
  </r>
  <r>
    <x v="102"/>
    <x v="3"/>
    <x v="3"/>
    <x v="3"/>
    <x v="18"/>
    <n v="45"/>
    <n v="27"/>
    <n v="1215"/>
    <x v="1"/>
    <x v="0"/>
    <s v="2026"/>
    <x v="6"/>
    <d v="2026-11-03T00:00:00"/>
    <d v="1995-08-31T00:00:00"/>
    <n v="31"/>
    <x v="0"/>
  </r>
  <r>
    <x v="103"/>
    <x v="3"/>
    <x v="1"/>
    <x v="1"/>
    <x v="2"/>
    <n v="3"/>
    <n v="1344"/>
    <n v="4032"/>
    <x v="0"/>
    <x v="2"/>
    <s v="2026"/>
    <x v="3"/>
    <d v="2026-02-08T00:00:00"/>
    <d v="1994-01-26T00:00:00"/>
    <n v="32"/>
    <x v="0"/>
  </r>
  <r>
    <x v="104"/>
    <x v="1"/>
    <x v="7"/>
    <x v="0"/>
    <x v="0"/>
    <n v="29"/>
    <n v="440"/>
    <n v="12760"/>
    <x v="1"/>
    <x v="1"/>
    <s v="2026"/>
    <x v="11"/>
    <d v="2026-12-10T00:00:00"/>
    <d v="1968-03-15T00:00:00"/>
    <n v="58"/>
    <x v="1"/>
  </r>
  <r>
    <x v="105"/>
    <x v="2"/>
    <x v="6"/>
    <x v="3"/>
    <x v="16"/>
    <n v="24"/>
    <n v="29"/>
    <n v="696"/>
    <x v="0"/>
    <x v="1"/>
    <s v="2026"/>
    <x v="1"/>
    <d v="2026-03-08T00:00:00"/>
    <d v="1992-04-29T00:00:00"/>
    <n v="33"/>
    <x v="0"/>
  </r>
  <r>
    <x v="106"/>
    <x v="0"/>
    <x v="1"/>
    <x v="0"/>
    <x v="9"/>
    <n v="25"/>
    <n v="593"/>
    <n v="14825"/>
    <x v="1"/>
    <x v="0"/>
    <s v="2026"/>
    <x v="10"/>
    <d v="2026-08-19T00:00:00"/>
    <d v="1993-06-26T00:00:00"/>
    <n v="33"/>
    <x v="0"/>
  </r>
  <r>
    <x v="107"/>
    <x v="2"/>
    <x v="4"/>
    <x v="3"/>
    <x v="15"/>
    <n v="17"/>
    <n v="44"/>
    <n v="748"/>
    <x v="0"/>
    <x v="1"/>
    <s v="2026"/>
    <x v="8"/>
    <d v="2026-01-26T00:00:00"/>
    <d v="1972-09-04T00:00:00"/>
    <n v="53"/>
    <x v="1"/>
  </r>
  <r>
    <x v="108"/>
    <x v="3"/>
    <x v="5"/>
    <x v="1"/>
    <x v="4"/>
    <n v="38"/>
    <n v="692"/>
    <n v="26296"/>
    <x v="1"/>
    <x v="1"/>
    <s v="2026"/>
    <x v="6"/>
    <d v="2026-11-14T00:00:00"/>
    <d v="1988-12-17T00:00:00"/>
    <n v="37"/>
    <x v="0"/>
  </r>
  <r>
    <x v="109"/>
    <x v="3"/>
    <x v="4"/>
    <x v="1"/>
    <x v="19"/>
    <n v="7"/>
    <n v="565"/>
    <n v="3955"/>
    <x v="1"/>
    <x v="1"/>
    <s v="2026"/>
    <x v="2"/>
    <d v="2026-07-19T00:00:00"/>
    <d v="1997-09-16T00:00:00"/>
    <n v="28"/>
    <x v="2"/>
  </r>
  <r>
    <x v="110"/>
    <x v="1"/>
    <x v="5"/>
    <x v="1"/>
    <x v="4"/>
    <n v="1"/>
    <n v="1239"/>
    <n v="1239"/>
    <x v="1"/>
    <x v="1"/>
    <s v="2026"/>
    <x v="6"/>
    <d v="2026-11-25T00:00:00"/>
    <d v="1975-12-25T00:00:00"/>
    <n v="50"/>
    <x v="1"/>
  </r>
  <r>
    <x v="111"/>
    <x v="0"/>
    <x v="0"/>
    <x v="3"/>
    <x v="17"/>
    <n v="41"/>
    <n v="14"/>
    <n v="574"/>
    <x v="0"/>
    <x v="2"/>
    <s v="2026"/>
    <x v="9"/>
    <d v="2026-10-09T00:00:00"/>
    <d v="1972-05-01T00:00:00"/>
    <n v="54"/>
    <x v="1"/>
  </r>
  <r>
    <x v="112"/>
    <x v="1"/>
    <x v="4"/>
    <x v="1"/>
    <x v="1"/>
    <n v="38"/>
    <n v="827"/>
    <n v="31426"/>
    <x v="1"/>
    <x v="0"/>
    <s v="2026"/>
    <x v="11"/>
    <d v="2026-12-05T00:00:00"/>
    <d v="1985-09-26T00:00:00"/>
    <n v="41"/>
    <x v="0"/>
  </r>
  <r>
    <x v="113"/>
    <x v="3"/>
    <x v="6"/>
    <x v="1"/>
    <x v="7"/>
    <n v="13"/>
    <n v="350"/>
    <n v="4550"/>
    <x v="1"/>
    <x v="2"/>
    <s v="2026"/>
    <x v="7"/>
    <d v="2026-09-12T00:00:00"/>
    <d v="1982-01-08T00:00:00"/>
    <n v="44"/>
    <x v="0"/>
  </r>
  <r>
    <x v="114"/>
    <x v="0"/>
    <x v="3"/>
    <x v="3"/>
    <x v="16"/>
    <n v="8"/>
    <n v="31"/>
    <n v="248"/>
    <x v="1"/>
    <x v="1"/>
    <s v="2026"/>
    <x v="3"/>
    <d v="2026-02-05T00:00:00"/>
    <d v="1977-02-09T00:00:00"/>
    <n v="48"/>
    <x v="1"/>
  </r>
  <r>
    <x v="115"/>
    <x v="3"/>
    <x v="4"/>
    <x v="1"/>
    <x v="1"/>
    <n v="17"/>
    <n v="1178"/>
    <n v="20026"/>
    <x v="1"/>
    <x v="0"/>
    <s v="2026"/>
    <x v="3"/>
    <d v="2026-02-15T00:00:00"/>
    <d v="1993-09-16T00:00:00"/>
    <n v="32"/>
    <x v="0"/>
  </r>
  <r>
    <x v="116"/>
    <x v="3"/>
    <x v="1"/>
    <x v="3"/>
    <x v="14"/>
    <n v="44"/>
    <n v="16"/>
    <n v="704"/>
    <x v="0"/>
    <x v="0"/>
    <s v="2026"/>
    <x v="10"/>
    <d v="2026-08-01T00:00:00"/>
    <d v="1995-11-14T00:00:00"/>
    <n v="30"/>
    <x v="2"/>
  </r>
  <r>
    <x v="117"/>
    <x v="1"/>
    <x v="7"/>
    <x v="1"/>
    <x v="4"/>
    <n v="42"/>
    <n v="916"/>
    <n v="38472"/>
    <x v="1"/>
    <x v="2"/>
    <s v="2026"/>
    <x v="3"/>
    <d v="2026-02-05T00:00:00"/>
    <d v="1989-12-26T00:00:00"/>
    <n v="36"/>
    <x v="0"/>
  </r>
  <r>
    <x v="118"/>
    <x v="2"/>
    <x v="2"/>
    <x v="0"/>
    <x v="0"/>
    <n v="16"/>
    <n v="1200"/>
    <n v="19200"/>
    <x v="1"/>
    <x v="0"/>
    <s v="2026"/>
    <x v="1"/>
    <d v="2026-03-13T00:00:00"/>
    <d v="1974-11-08T00:00:00"/>
    <n v="51"/>
    <x v="1"/>
  </r>
  <r>
    <x v="119"/>
    <x v="2"/>
    <x v="4"/>
    <x v="2"/>
    <x v="8"/>
    <n v="42"/>
    <n v="151"/>
    <n v="6342"/>
    <x v="0"/>
    <x v="0"/>
    <s v="2026"/>
    <x v="10"/>
    <d v="2026-08-20T00:00:00"/>
    <d v="1995-09-17T00:00:00"/>
    <n v="30"/>
    <x v="2"/>
  </r>
  <r>
    <x v="120"/>
    <x v="3"/>
    <x v="0"/>
    <x v="3"/>
    <x v="17"/>
    <n v="29"/>
    <n v="30"/>
    <n v="870"/>
    <x v="1"/>
    <x v="0"/>
    <s v="2026"/>
    <x v="0"/>
    <d v="2026-04-28T00:00:00"/>
    <d v="1979-07-20T00:00:00"/>
    <n v="46"/>
    <x v="1"/>
  </r>
  <r>
    <x v="121"/>
    <x v="2"/>
    <x v="0"/>
    <x v="3"/>
    <x v="14"/>
    <n v="26"/>
    <n v="19"/>
    <n v="494"/>
    <x v="0"/>
    <x v="0"/>
    <s v="2026"/>
    <x v="0"/>
    <d v="2026-04-04T00:00:00"/>
    <d v="2002-10-23T00:00:00"/>
    <n v="23"/>
    <x v="2"/>
  </r>
  <r>
    <x v="122"/>
    <x v="0"/>
    <x v="0"/>
    <x v="0"/>
    <x v="0"/>
    <n v="22"/>
    <n v="598"/>
    <n v="13156"/>
    <x v="0"/>
    <x v="0"/>
    <s v="2026"/>
    <x v="1"/>
    <d v="2026-03-26T00:00:00"/>
    <d v="1999-06-20T00:00:00"/>
    <n v="26"/>
    <x v="2"/>
  </r>
  <r>
    <x v="123"/>
    <x v="3"/>
    <x v="6"/>
    <x v="2"/>
    <x v="5"/>
    <n v="22"/>
    <n v="201"/>
    <n v="4422"/>
    <x v="0"/>
    <x v="0"/>
    <s v="2026"/>
    <x v="9"/>
    <d v="2026-10-01T00:00:00"/>
    <d v="1999-10-23T00:00:00"/>
    <n v="26"/>
    <x v="2"/>
  </r>
  <r>
    <x v="124"/>
    <x v="1"/>
    <x v="2"/>
    <x v="3"/>
    <x v="17"/>
    <n v="8"/>
    <n v="44"/>
    <n v="352"/>
    <x v="0"/>
    <x v="0"/>
    <s v="2026"/>
    <x v="8"/>
    <d v="2026-01-05T00:00:00"/>
    <d v="1967-07-06T00:00:00"/>
    <n v="58"/>
    <x v="1"/>
  </r>
  <r>
    <x v="125"/>
    <x v="2"/>
    <x v="0"/>
    <x v="3"/>
    <x v="14"/>
    <n v="12"/>
    <n v="18"/>
    <n v="216"/>
    <x v="0"/>
    <x v="2"/>
    <s v="2026"/>
    <x v="8"/>
    <d v="2026-01-05T00:00:00"/>
    <d v="1975-04-11T00:00:00"/>
    <n v="50"/>
    <x v="1"/>
  </r>
  <r>
    <x v="126"/>
    <x v="0"/>
    <x v="7"/>
    <x v="1"/>
    <x v="4"/>
    <n v="33"/>
    <n v="1295"/>
    <n v="42735"/>
    <x v="1"/>
    <x v="2"/>
    <s v="2026"/>
    <x v="3"/>
    <d v="2026-02-15T00:00:00"/>
    <d v="2001-11-12T00:00:00"/>
    <n v="24"/>
    <x v="2"/>
  </r>
  <r>
    <x v="127"/>
    <x v="1"/>
    <x v="5"/>
    <x v="0"/>
    <x v="0"/>
    <n v="31"/>
    <n v="922"/>
    <n v="28582"/>
    <x v="1"/>
    <x v="1"/>
    <s v="2026"/>
    <x v="2"/>
    <d v="2026-07-22T00:00:00"/>
    <d v="1966-06-10T00:00:00"/>
    <n v="60"/>
    <x v="1"/>
  </r>
  <r>
    <x v="128"/>
    <x v="3"/>
    <x v="2"/>
    <x v="0"/>
    <x v="6"/>
    <n v="39"/>
    <n v="403"/>
    <n v="15717"/>
    <x v="1"/>
    <x v="0"/>
    <s v="2026"/>
    <x v="3"/>
    <d v="2026-02-05T00:00:00"/>
    <d v="2001-02-10T00:00:00"/>
    <n v="24"/>
    <x v="2"/>
  </r>
  <r>
    <x v="129"/>
    <x v="1"/>
    <x v="1"/>
    <x v="3"/>
    <x v="15"/>
    <n v="33"/>
    <n v="40"/>
    <n v="1320"/>
    <x v="1"/>
    <x v="2"/>
    <s v="2026"/>
    <x v="2"/>
    <d v="2026-07-04T00:00:00"/>
    <d v="1979-02-25T00:00:00"/>
    <n v="47"/>
    <x v="1"/>
  </r>
  <r>
    <x v="130"/>
    <x v="1"/>
    <x v="2"/>
    <x v="2"/>
    <x v="8"/>
    <n v="22"/>
    <n v="514"/>
    <n v="11308"/>
    <x v="1"/>
    <x v="2"/>
    <s v="2026"/>
    <x v="2"/>
    <d v="2026-07-14T00:00:00"/>
    <d v="1982-12-30T00:00:00"/>
    <n v="43"/>
    <x v="0"/>
  </r>
  <r>
    <x v="131"/>
    <x v="1"/>
    <x v="0"/>
    <x v="3"/>
    <x v="16"/>
    <n v="10"/>
    <n v="45"/>
    <n v="450"/>
    <x v="0"/>
    <x v="2"/>
    <s v="2026"/>
    <x v="10"/>
    <d v="2026-08-03T00:00:00"/>
    <d v="1977-01-04T00:00:00"/>
    <n v="49"/>
    <x v="1"/>
  </r>
  <r>
    <x v="132"/>
    <x v="3"/>
    <x v="0"/>
    <x v="0"/>
    <x v="6"/>
    <n v="9"/>
    <n v="222"/>
    <n v="1998"/>
    <x v="1"/>
    <x v="2"/>
    <s v="2026"/>
    <x v="9"/>
    <d v="2026-10-18T00:00:00"/>
    <d v="1967-12-21T00:00:00"/>
    <n v="58"/>
    <x v="1"/>
  </r>
  <r>
    <x v="133"/>
    <x v="1"/>
    <x v="1"/>
    <x v="1"/>
    <x v="1"/>
    <n v="19"/>
    <n v="1309"/>
    <n v="24871"/>
    <x v="0"/>
    <x v="0"/>
    <s v="2026"/>
    <x v="4"/>
    <d v="2026-05-12T00:00:00"/>
    <d v="1974-06-19T00:00:00"/>
    <n v="51"/>
    <x v="1"/>
  </r>
  <r>
    <x v="134"/>
    <x v="1"/>
    <x v="4"/>
    <x v="1"/>
    <x v="7"/>
    <n v="7"/>
    <n v="797"/>
    <n v="5579"/>
    <x v="0"/>
    <x v="2"/>
    <s v="2026"/>
    <x v="7"/>
    <d v="2026-09-12T00:00:00"/>
    <d v="2005-12-17T00:00:00"/>
    <n v="20"/>
    <x v="2"/>
  </r>
  <r>
    <x v="135"/>
    <x v="3"/>
    <x v="4"/>
    <x v="0"/>
    <x v="9"/>
    <n v="43"/>
    <n v="647"/>
    <n v="27821"/>
    <x v="1"/>
    <x v="2"/>
    <s v="2026"/>
    <x v="8"/>
    <d v="2026-01-06T00:00:00"/>
    <d v="1990-06-11T00:00:00"/>
    <n v="35"/>
    <x v="0"/>
  </r>
  <r>
    <x v="136"/>
    <x v="1"/>
    <x v="0"/>
    <x v="0"/>
    <x v="11"/>
    <n v="10"/>
    <n v="920"/>
    <n v="9200"/>
    <x v="0"/>
    <x v="2"/>
    <s v="2026"/>
    <x v="3"/>
    <d v="2026-02-05T00:00:00"/>
    <d v="2004-04-24T00:00:00"/>
    <n v="21"/>
    <x v="2"/>
  </r>
  <r>
    <x v="137"/>
    <x v="3"/>
    <x v="0"/>
    <x v="1"/>
    <x v="19"/>
    <n v="22"/>
    <n v="402"/>
    <n v="8844"/>
    <x v="0"/>
    <x v="1"/>
    <s v="2026"/>
    <x v="5"/>
    <d v="2026-06-10T00:00:00"/>
    <d v="1997-03-16T00:00:00"/>
    <n v="29"/>
    <x v="2"/>
  </r>
  <r>
    <x v="138"/>
    <x v="2"/>
    <x v="3"/>
    <x v="2"/>
    <x v="12"/>
    <n v="4"/>
    <n v="740"/>
    <n v="2960"/>
    <x v="1"/>
    <x v="0"/>
    <s v="2026"/>
    <x v="3"/>
    <d v="2026-02-09T00:00:00"/>
    <d v="1979-02-12T00:00:00"/>
    <n v="46"/>
    <x v="1"/>
  </r>
  <r>
    <x v="139"/>
    <x v="3"/>
    <x v="3"/>
    <x v="1"/>
    <x v="19"/>
    <n v="18"/>
    <n v="521"/>
    <n v="9378"/>
    <x v="0"/>
    <x v="2"/>
    <s v="2026"/>
    <x v="7"/>
    <d v="2026-09-04T00:00:00"/>
    <d v="1974-07-16T00:00:00"/>
    <n v="52"/>
    <x v="1"/>
  </r>
  <r>
    <x v="140"/>
    <x v="2"/>
    <x v="7"/>
    <x v="1"/>
    <x v="2"/>
    <n v="43"/>
    <n v="711"/>
    <n v="30573"/>
    <x v="0"/>
    <x v="1"/>
    <s v="2026"/>
    <x v="8"/>
    <d v="2026-01-08T00:00:00"/>
    <d v="1994-05-27T00:00:00"/>
    <n v="31"/>
    <x v="0"/>
  </r>
  <r>
    <x v="141"/>
    <x v="3"/>
    <x v="0"/>
    <x v="3"/>
    <x v="17"/>
    <n v="50"/>
    <n v="10"/>
    <n v="500"/>
    <x v="0"/>
    <x v="2"/>
    <s v="2026"/>
    <x v="4"/>
    <d v="2026-05-10T00:00:00"/>
    <d v="1987-05-25T00:00:00"/>
    <n v="38"/>
    <x v="0"/>
  </r>
  <r>
    <x v="142"/>
    <x v="0"/>
    <x v="2"/>
    <x v="1"/>
    <x v="7"/>
    <n v="9"/>
    <n v="858"/>
    <n v="7722"/>
    <x v="0"/>
    <x v="2"/>
    <s v="2026"/>
    <x v="7"/>
    <d v="2026-09-23T00:00:00"/>
    <d v="1982-10-01T00:00:00"/>
    <n v="43"/>
    <x v="0"/>
  </r>
  <r>
    <x v="143"/>
    <x v="3"/>
    <x v="3"/>
    <x v="0"/>
    <x v="13"/>
    <n v="2"/>
    <n v="1041"/>
    <n v="2082"/>
    <x v="1"/>
    <x v="0"/>
    <s v="2026"/>
    <x v="3"/>
    <d v="2026-02-28T00:00:00"/>
    <d v="2004-09-07T00:00:00"/>
    <n v="21"/>
    <x v="2"/>
  </r>
  <r>
    <x v="144"/>
    <x v="0"/>
    <x v="5"/>
    <x v="1"/>
    <x v="4"/>
    <n v="8"/>
    <n v="909"/>
    <n v="7272"/>
    <x v="1"/>
    <x v="1"/>
    <s v="2026"/>
    <x v="8"/>
    <d v="2026-01-11T00:00:00"/>
    <d v="1993-11-02T00:00:00"/>
    <n v="32"/>
    <x v="0"/>
  </r>
  <r>
    <x v="145"/>
    <x v="1"/>
    <x v="3"/>
    <x v="1"/>
    <x v="1"/>
    <n v="16"/>
    <n v="972"/>
    <n v="15552"/>
    <x v="1"/>
    <x v="0"/>
    <s v="2026"/>
    <x v="9"/>
    <d v="2026-10-13T00:00:00"/>
    <d v="1985-08-01T00:00:00"/>
    <n v="41"/>
    <x v="0"/>
  </r>
  <r>
    <x v="146"/>
    <x v="1"/>
    <x v="1"/>
    <x v="3"/>
    <x v="17"/>
    <n v="22"/>
    <n v="12"/>
    <n v="264"/>
    <x v="1"/>
    <x v="2"/>
    <s v="2026"/>
    <x v="3"/>
    <d v="2026-02-17T00:00:00"/>
    <d v="1971-05-30T00:00:00"/>
    <n v="54"/>
    <x v="1"/>
  </r>
  <r>
    <x v="147"/>
    <x v="0"/>
    <x v="6"/>
    <x v="2"/>
    <x v="5"/>
    <n v="7"/>
    <n v="199"/>
    <n v="1393"/>
    <x v="0"/>
    <x v="1"/>
    <s v="2026"/>
    <x v="4"/>
    <d v="2026-05-07T00:00:00"/>
    <d v="1976-11-18T00:00:00"/>
    <n v="49"/>
    <x v="1"/>
  </r>
  <r>
    <x v="148"/>
    <x v="3"/>
    <x v="2"/>
    <x v="1"/>
    <x v="19"/>
    <n v="49"/>
    <n v="1234"/>
    <n v="60466"/>
    <x v="0"/>
    <x v="2"/>
    <s v="2026"/>
    <x v="9"/>
    <d v="2026-10-15T00:00:00"/>
    <d v="1971-04-07T00:00:00"/>
    <n v="55"/>
    <x v="1"/>
  </r>
  <r>
    <x v="149"/>
    <x v="1"/>
    <x v="2"/>
    <x v="0"/>
    <x v="13"/>
    <n v="29"/>
    <n v="720"/>
    <n v="20880"/>
    <x v="0"/>
    <x v="2"/>
    <s v="2026"/>
    <x v="4"/>
    <d v="2026-05-19T00:00:00"/>
    <d v="1976-01-24T00:00:00"/>
    <n v="50"/>
    <x v="1"/>
  </r>
  <r>
    <x v="150"/>
    <x v="3"/>
    <x v="0"/>
    <x v="1"/>
    <x v="19"/>
    <n v="3"/>
    <n v="196"/>
    <n v="588"/>
    <x v="0"/>
    <x v="0"/>
    <s v="2026"/>
    <x v="5"/>
    <d v="2026-06-27T00:00:00"/>
    <d v="1998-06-02T00:00:00"/>
    <n v="28"/>
    <x v="2"/>
  </r>
  <r>
    <x v="151"/>
    <x v="2"/>
    <x v="1"/>
    <x v="1"/>
    <x v="19"/>
    <n v="38"/>
    <n v="1215"/>
    <n v="46170"/>
    <x v="1"/>
    <x v="0"/>
    <s v="2026"/>
    <x v="11"/>
    <d v="2026-12-02T00:00:00"/>
    <d v="1990-03-08T00:00:00"/>
    <n v="36"/>
    <x v="0"/>
  </r>
  <r>
    <x v="152"/>
    <x v="3"/>
    <x v="0"/>
    <x v="1"/>
    <x v="2"/>
    <n v="10"/>
    <n v="206"/>
    <n v="2060"/>
    <x v="0"/>
    <x v="1"/>
    <s v="2026"/>
    <x v="10"/>
    <d v="2026-08-04T00:00:00"/>
    <d v="1989-03-06T00:00:00"/>
    <n v="37"/>
    <x v="0"/>
  </r>
  <r>
    <x v="153"/>
    <x v="0"/>
    <x v="2"/>
    <x v="2"/>
    <x v="8"/>
    <n v="29"/>
    <n v="586"/>
    <n v="16994"/>
    <x v="1"/>
    <x v="2"/>
    <s v="2026"/>
    <x v="7"/>
    <d v="2026-09-20T00:00:00"/>
    <d v="1976-10-14T00:00:00"/>
    <n v="49"/>
    <x v="1"/>
  </r>
  <r>
    <x v="154"/>
    <x v="1"/>
    <x v="2"/>
    <x v="1"/>
    <x v="19"/>
    <n v="50"/>
    <n v="772"/>
    <n v="38600"/>
    <x v="0"/>
    <x v="2"/>
    <s v="2026"/>
    <x v="6"/>
    <d v="2026-11-20T00:00:00"/>
    <d v="1998-07-06T00:00:00"/>
    <n v="28"/>
    <x v="2"/>
  </r>
  <r>
    <x v="155"/>
    <x v="0"/>
    <x v="2"/>
    <x v="0"/>
    <x v="9"/>
    <n v="44"/>
    <n v="891"/>
    <n v="39204"/>
    <x v="0"/>
    <x v="0"/>
    <s v="2026"/>
    <x v="4"/>
    <d v="2026-05-09T00:00:00"/>
    <d v="1991-03-23T00:00:00"/>
    <n v="35"/>
    <x v="0"/>
  </r>
  <r>
    <x v="156"/>
    <x v="2"/>
    <x v="6"/>
    <x v="2"/>
    <x v="3"/>
    <n v="20"/>
    <n v="721"/>
    <n v="14420"/>
    <x v="0"/>
    <x v="2"/>
    <s v="2026"/>
    <x v="11"/>
    <d v="2026-12-22T00:00:00"/>
    <d v="1984-03-21T00:00:00"/>
    <n v="42"/>
    <x v="0"/>
  </r>
  <r>
    <x v="157"/>
    <x v="1"/>
    <x v="3"/>
    <x v="1"/>
    <x v="4"/>
    <n v="9"/>
    <n v="1452"/>
    <n v="13068"/>
    <x v="1"/>
    <x v="1"/>
    <s v="2026"/>
    <x v="11"/>
    <d v="2026-12-27T00:00:00"/>
    <d v="2005-04-10T00:00:00"/>
    <n v="21"/>
    <x v="2"/>
  </r>
  <r>
    <x v="158"/>
    <x v="2"/>
    <x v="1"/>
    <x v="3"/>
    <x v="16"/>
    <n v="12"/>
    <n v="15"/>
    <n v="180"/>
    <x v="0"/>
    <x v="1"/>
    <s v="2026"/>
    <x v="5"/>
    <d v="2026-06-25T00:00:00"/>
    <d v="1991-03-06T00:00:00"/>
    <n v="35"/>
    <x v="0"/>
  </r>
  <r>
    <x v="159"/>
    <x v="1"/>
    <x v="2"/>
    <x v="2"/>
    <x v="10"/>
    <n v="19"/>
    <n v="153"/>
    <n v="2907"/>
    <x v="0"/>
    <x v="0"/>
    <s v="2026"/>
    <x v="7"/>
    <d v="2026-09-25T00:00:00"/>
    <d v="1982-12-01T00:00:00"/>
    <n v="43"/>
    <x v="0"/>
  </r>
  <r>
    <x v="160"/>
    <x v="0"/>
    <x v="5"/>
    <x v="1"/>
    <x v="7"/>
    <n v="11"/>
    <n v="450"/>
    <n v="4950"/>
    <x v="0"/>
    <x v="2"/>
    <s v="2026"/>
    <x v="11"/>
    <d v="2026-12-25T00:00:00"/>
    <d v="1981-03-28T00:00:00"/>
    <n v="45"/>
    <x v="0"/>
  </r>
  <r>
    <x v="161"/>
    <x v="2"/>
    <x v="1"/>
    <x v="3"/>
    <x v="17"/>
    <n v="29"/>
    <n v="41"/>
    <n v="1189"/>
    <x v="0"/>
    <x v="2"/>
    <s v="2026"/>
    <x v="4"/>
    <d v="2026-05-25T00:00:00"/>
    <d v="1974-11-03T00:00:00"/>
    <n v="51"/>
    <x v="1"/>
  </r>
  <r>
    <x v="162"/>
    <x v="2"/>
    <x v="4"/>
    <x v="1"/>
    <x v="7"/>
    <n v="24"/>
    <n v="1469"/>
    <n v="35256"/>
    <x v="1"/>
    <x v="0"/>
    <s v="2026"/>
    <x v="9"/>
    <d v="2026-10-15T00:00:00"/>
    <d v="1971-03-17T00:00:00"/>
    <n v="55"/>
    <x v="1"/>
  </r>
  <r>
    <x v="163"/>
    <x v="3"/>
    <x v="7"/>
    <x v="1"/>
    <x v="7"/>
    <n v="13"/>
    <n v="1318"/>
    <n v="17134"/>
    <x v="1"/>
    <x v="2"/>
    <s v="2026"/>
    <x v="1"/>
    <d v="2026-03-28T00:00:00"/>
    <d v="1987-11-10T00:00:00"/>
    <n v="38"/>
    <x v="0"/>
  </r>
  <r>
    <x v="164"/>
    <x v="0"/>
    <x v="4"/>
    <x v="0"/>
    <x v="9"/>
    <n v="8"/>
    <n v="683"/>
    <n v="5464"/>
    <x v="1"/>
    <x v="0"/>
    <s v="2026"/>
    <x v="3"/>
    <d v="2026-02-25T00:00:00"/>
    <d v="1987-02-20T00:00:00"/>
    <n v="39"/>
    <x v="0"/>
  </r>
  <r>
    <x v="165"/>
    <x v="1"/>
    <x v="3"/>
    <x v="2"/>
    <x v="8"/>
    <n v="6"/>
    <n v="277"/>
    <n v="1662"/>
    <x v="0"/>
    <x v="2"/>
    <s v="2026"/>
    <x v="10"/>
    <d v="2026-08-12T00:00:00"/>
    <d v="1969-01-29T00:00:00"/>
    <n v="57"/>
    <x v="1"/>
  </r>
  <r>
    <x v="166"/>
    <x v="1"/>
    <x v="2"/>
    <x v="3"/>
    <x v="17"/>
    <n v="25"/>
    <n v="7"/>
    <n v="175"/>
    <x v="0"/>
    <x v="0"/>
    <s v="2026"/>
    <x v="5"/>
    <d v="2026-06-08T00:00:00"/>
    <d v="1998-11-26T00:00:00"/>
    <n v="27"/>
    <x v="2"/>
  </r>
  <r>
    <x v="167"/>
    <x v="2"/>
    <x v="6"/>
    <x v="3"/>
    <x v="17"/>
    <n v="9"/>
    <n v="4"/>
    <n v="36"/>
    <x v="1"/>
    <x v="2"/>
    <s v="2026"/>
    <x v="4"/>
    <d v="2026-05-27T00:00:00"/>
    <d v="1967-02-11T00:00:00"/>
    <n v="59"/>
    <x v="1"/>
  </r>
  <r>
    <x v="168"/>
    <x v="0"/>
    <x v="3"/>
    <x v="0"/>
    <x v="0"/>
    <n v="2"/>
    <n v="624"/>
    <n v="1248"/>
    <x v="0"/>
    <x v="2"/>
    <s v="2026"/>
    <x v="0"/>
    <d v="2026-04-27T00:00:00"/>
    <d v="2003-08-18T00:00:00"/>
    <n v="22"/>
    <x v="2"/>
  </r>
  <r>
    <x v="169"/>
    <x v="2"/>
    <x v="0"/>
    <x v="2"/>
    <x v="3"/>
    <n v="8"/>
    <n v="98"/>
    <n v="784"/>
    <x v="0"/>
    <x v="2"/>
    <s v="2026"/>
    <x v="0"/>
    <d v="2026-04-14T00:00:00"/>
    <d v="1969-12-02T00:00:00"/>
    <n v="56"/>
    <x v="1"/>
  </r>
  <r>
    <x v="170"/>
    <x v="3"/>
    <x v="3"/>
    <x v="0"/>
    <x v="9"/>
    <n v="37"/>
    <n v="595"/>
    <n v="22015"/>
    <x v="0"/>
    <x v="0"/>
    <s v="2026"/>
    <x v="11"/>
    <d v="2026-12-05T00:00:00"/>
    <d v="1971-11-10T00:00:00"/>
    <n v="55"/>
    <x v="1"/>
  </r>
  <r>
    <x v="171"/>
    <x v="1"/>
    <x v="2"/>
    <x v="3"/>
    <x v="17"/>
    <n v="37"/>
    <n v="28"/>
    <n v="1036"/>
    <x v="0"/>
    <x v="0"/>
    <s v="2026"/>
    <x v="1"/>
    <d v="2026-03-22T00:00:00"/>
    <d v="1993-02-23T00:00:00"/>
    <n v="33"/>
    <x v="0"/>
  </r>
  <r>
    <x v="172"/>
    <x v="3"/>
    <x v="4"/>
    <x v="0"/>
    <x v="13"/>
    <n v="31"/>
    <n v="189"/>
    <n v="5859"/>
    <x v="0"/>
    <x v="2"/>
    <s v="2026"/>
    <x v="6"/>
    <d v="2026-11-13T00:00:00"/>
    <d v="1972-03-06T00:00:00"/>
    <n v="54"/>
    <x v="1"/>
  </r>
  <r>
    <x v="173"/>
    <x v="3"/>
    <x v="6"/>
    <x v="0"/>
    <x v="6"/>
    <n v="16"/>
    <n v="312"/>
    <n v="4992"/>
    <x v="0"/>
    <x v="2"/>
    <s v="2026"/>
    <x v="9"/>
    <d v="2026-10-24T00:00:00"/>
    <d v="2000-07-13T00:00:00"/>
    <n v="26"/>
    <x v="2"/>
  </r>
  <r>
    <x v="174"/>
    <x v="2"/>
    <x v="6"/>
    <x v="3"/>
    <x v="17"/>
    <n v="50"/>
    <n v="45"/>
    <n v="2250"/>
    <x v="0"/>
    <x v="1"/>
    <s v="2026"/>
    <x v="10"/>
    <d v="2026-08-23T00:00:00"/>
    <d v="1995-07-12T00:00:00"/>
    <n v="31"/>
    <x v="0"/>
  </r>
  <r>
    <x v="175"/>
    <x v="0"/>
    <x v="7"/>
    <x v="1"/>
    <x v="1"/>
    <n v="19"/>
    <n v="492"/>
    <n v="9348"/>
    <x v="1"/>
    <x v="2"/>
    <s v="2026"/>
    <x v="8"/>
    <d v="2026-01-26T00:00:00"/>
    <d v="1983-12-09T00:00:00"/>
    <n v="42"/>
    <x v="0"/>
  </r>
  <r>
    <x v="176"/>
    <x v="0"/>
    <x v="4"/>
    <x v="1"/>
    <x v="2"/>
    <n v="31"/>
    <n v="598"/>
    <n v="18538"/>
    <x v="1"/>
    <x v="1"/>
    <s v="2026"/>
    <x v="8"/>
    <d v="2026-01-25T00:00:00"/>
    <d v="1991-10-03T00:00:00"/>
    <n v="34"/>
    <x v="0"/>
  </r>
  <r>
    <x v="177"/>
    <x v="2"/>
    <x v="3"/>
    <x v="3"/>
    <x v="16"/>
    <n v="8"/>
    <n v="25"/>
    <n v="200"/>
    <x v="1"/>
    <x v="1"/>
    <s v="2026"/>
    <x v="2"/>
    <d v="2026-07-13T00:00:00"/>
    <d v="1967-11-07T00:00:00"/>
    <n v="58"/>
    <x v="1"/>
  </r>
  <r>
    <x v="178"/>
    <x v="1"/>
    <x v="3"/>
    <x v="1"/>
    <x v="19"/>
    <n v="24"/>
    <n v="1143"/>
    <n v="27432"/>
    <x v="0"/>
    <x v="2"/>
    <s v="2026"/>
    <x v="4"/>
    <d v="2026-05-26T00:00:00"/>
    <d v="1982-04-06T00:00:00"/>
    <n v="44"/>
    <x v="0"/>
  </r>
  <r>
    <x v="179"/>
    <x v="3"/>
    <x v="4"/>
    <x v="2"/>
    <x v="12"/>
    <n v="19"/>
    <n v="378"/>
    <n v="7182"/>
    <x v="1"/>
    <x v="2"/>
    <s v="2026"/>
    <x v="3"/>
    <d v="2026-02-03T00:00:00"/>
    <d v="1982-02-13T00:00:00"/>
    <n v="43"/>
    <x v="0"/>
  </r>
  <r>
    <x v="180"/>
    <x v="1"/>
    <x v="2"/>
    <x v="1"/>
    <x v="7"/>
    <n v="45"/>
    <n v="989"/>
    <n v="44505"/>
    <x v="1"/>
    <x v="2"/>
    <s v="2026"/>
    <x v="5"/>
    <d v="2026-06-15T00:00:00"/>
    <d v="1991-09-25T00:00:00"/>
    <n v="34"/>
    <x v="0"/>
  </r>
  <r>
    <x v="181"/>
    <x v="0"/>
    <x v="7"/>
    <x v="0"/>
    <x v="0"/>
    <n v="43"/>
    <n v="931"/>
    <n v="40033"/>
    <x v="0"/>
    <x v="0"/>
    <s v="2026"/>
    <x v="5"/>
    <d v="2026-06-17T00:00:00"/>
    <d v="1985-12-30T00:00:00"/>
    <n v="40"/>
    <x v="0"/>
  </r>
  <r>
    <x v="182"/>
    <x v="3"/>
    <x v="2"/>
    <x v="1"/>
    <x v="1"/>
    <n v="9"/>
    <n v="217"/>
    <n v="1953"/>
    <x v="1"/>
    <x v="0"/>
    <s v="2026"/>
    <x v="0"/>
    <d v="2026-04-25T00:00:00"/>
    <d v="1988-09-26T00:00:00"/>
    <n v="37"/>
    <x v="0"/>
  </r>
  <r>
    <x v="183"/>
    <x v="2"/>
    <x v="0"/>
    <x v="0"/>
    <x v="9"/>
    <n v="10"/>
    <n v="1021"/>
    <n v="10210"/>
    <x v="0"/>
    <x v="0"/>
    <s v="2026"/>
    <x v="5"/>
    <d v="2026-06-12T00:00:00"/>
    <d v="1976-04-12T00:00:00"/>
    <n v="50"/>
    <x v="1"/>
  </r>
  <r>
    <x v="184"/>
    <x v="1"/>
    <x v="7"/>
    <x v="3"/>
    <x v="15"/>
    <n v="21"/>
    <n v="43"/>
    <n v="903"/>
    <x v="0"/>
    <x v="2"/>
    <s v="2026"/>
    <x v="4"/>
    <d v="2026-05-08T00:00:00"/>
    <d v="1989-10-26T00:00:00"/>
    <n v="36"/>
    <x v="0"/>
  </r>
  <r>
    <x v="185"/>
    <x v="2"/>
    <x v="1"/>
    <x v="1"/>
    <x v="2"/>
    <n v="8"/>
    <n v="616"/>
    <n v="4928"/>
    <x v="1"/>
    <x v="0"/>
    <s v="2026"/>
    <x v="4"/>
    <d v="2026-05-23T00:00:00"/>
    <d v="2003-08-13T00:00:00"/>
    <n v="22"/>
    <x v="2"/>
  </r>
  <r>
    <x v="186"/>
    <x v="0"/>
    <x v="5"/>
    <x v="1"/>
    <x v="7"/>
    <n v="8"/>
    <n v="357"/>
    <n v="2856"/>
    <x v="0"/>
    <x v="0"/>
    <s v="2026"/>
    <x v="3"/>
    <d v="2026-02-15T00:00:00"/>
    <d v="1965-07-08T00:00:00"/>
    <n v="60"/>
    <x v="1"/>
  </r>
  <r>
    <x v="187"/>
    <x v="3"/>
    <x v="4"/>
    <x v="3"/>
    <x v="16"/>
    <n v="46"/>
    <n v="6"/>
    <n v="276"/>
    <x v="0"/>
    <x v="0"/>
    <s v="2026"/>
    <x v="7"/>
    <d v="2026-09-18T00:00:00"/>
    <d v="1995-07-08T00:00:00"/>
    <n v="31"/>
    <x v="0"/>
  </r>
  <r>
    <x v="188"/>
    <x v="0"/>
    <x v="1"/>
    <x v="2"/>
    <x v="3"/>
    <n v="33"/>
    <n v="279"/>
    <n v="9207"/>
    <x v="1"/>
    <x v="1"/>
    <s v="2026"/>
    <x v="3"/>
    <d v="2026-02-07T00:00:00"/>
    <d v="1997-05-01T00:00:00"/>
    <n v="28"/>
    <x v="2"/>
  </r>
  <r>
    <x v="189"/>
    <x v="0"/>
    <x v="0"/>
    <x v="3"/>
    <x v="18"/>
    <n v="37"/>
    <n v="25"/>
    <n v="925"/>
    <x v="0"/>
    <x v="2"/>
    <s v="2026"/>
    <x v="10"/>
    <d v="2026-08-26T00:00:00"/>
    <d v="1970-02-20T00:00:00"/>
    <n v="56"/>
    <x v="1"/>
  </r>
  <r>
    <x v="190"/>
    <x v="1"/>
    <x v="6"/>
    <x v="1"/>
    <x v="19"/>
    <n v="34"/>
    <n v="921"/>
    <n v="31314"/>
    <x v="1"/>
    <x v="0"/>
    <s v="2026"/>
    <x v="2"/>
    <d v="2026-07-27T00:00:00"/>
    <d v="1995-08-01T00:00:00"/>
    <n v="30"/>
    <x v="2"/>
  </r>
  <r>
    <x v="191"/>
    <x v="0"/>
    <x v="6"/>
    <x v="0"/>
    <x v="13"/>
    <n v="30"/>
    <n v="1159"/>
    <n v="34770"/>
    <x v="1"/>
    <x v="0"/>
    <s v="2026"/>
    <x v="5"/>
    <d v="2026-06-05T00:00:00"/>
    <d v="2004-09-09T00:00:00"/>
    <n v="21"/>
    <x v="2"/>
  </r>
  <r>
    <x v="192"/>
    <x v="0"/>
    <x v="2"/>
    <x v="0"/>
    <x v="0"/>
    <n v="34"/>
    <n v="413"/>
    <n v="14042"/>
    <x v="0"/>
    <x v="2"/>
    <s v="2026"/>
    <x v="4"/>
    <d v="2026-05-06T00:00:00"/>
    <d v="1989-02-01T00:00:00"/>
    <n v="37"/>
    <x v="0"/>
  </r>
  <r>
    <x v="193"/>
    <x v="3"/>
    <x v="6"/>
    <x v="3"/>
    <x v="14"/>
    <n v="17"/>
    <n v="14"/>
    <n v="238"/>
    <x v="1"/>
    <x v="0"/>
    <s v="2026"/>
    <x v="6"/>
    <d v="2026-11-18T00:00:00"/>
    <d v="1998-09-07T00:00:00"/>
    <n v="28"/>
    <x v="2"/>
  </r>
  <r>
    <x v="194"/>
    <x v="0"/>
    <x v="6"/>
    <x v="0"/>
    <x v="9"/>
    <n v="42"/>
    <n v="445"/>
    <n v="18690"/>
    <x v="1"/>
    <x v="0"/>
    <s v="2026"/>
    <x v="9"/>
    <d v="2026-10-19T00:00:00"/>
    <d v="1976-12-20T00:00:00"/>
    <n v="49"/>
    <x v="1"/>
  </r>
  <r>
    <x v="195"/>
    <x v="3"/>
    <x v="1"/>
    <x v="0"/>
    <x v="0"/>
    <n v="6"/>
    <n v="193"/>
    <n v="1158"/>
    <x v="1"/>
    <x v="0"/>
    <s v="2026"/>
    <x v="6"/>
    <d v="2026-11-25T00:00:00"/>
    <d v="1999-06-24T00:00:00"/>
    <n v="27"/>
    <x v="2"/>
  </r>
  <r>
    <x v="196"/>
    <x v="2"/>
    <x v="1"/>
    <x v="0"/>
    <x v="13"/>
    <n v="41"/>
    <n v="693"/>
    <n v="28413"/>
    <x v="1"/>
    <x v="2"/>
    <s v="2026"/>
    <x v="6"/>
    <d v="2026-11-10T00:00:00"/>
    <d v="1993-10-02T00:00:00"/>
    <n v="33"/>
    <x v="0"/>
  </r>
  <r>
    <x v="197"/>
    <x v="2"/>
    <x v="5"/>
    <x v="1"/>
    <x v="1"/>
    <n v="45"/>
    <n v="202"/>
    <n v="9090"/>
    <x v="1"/>
    <x v="1"/>
    <s v="2026"/>
    <x v="1"/>
    <d v="2026-03-15T00:00:00"/>
    <d v="1980-04-05T00:00:00"/>
    <n v="45"/>
    <x v="0"/>
  </r>
  <r>
    <x v="198"/>
    <x v="3"/>
    <x v="3"/>
    <x v="3"/>
    <x v="18"/>
    <n v="10"/>
    <n v="22"/>
    <n v="220"/>
    <x v="0"/>
    <x v="2"/>
    <s v="2026"/>
    <x v="11"/>
    <d v="2026-12-11T00:00:00"/>
    <d v="1970-01-02T00:00:00"/>
    <n v="56"/>
    <x v="1"/>
  </r>
  <r>
    <x v="199"/>
    <x v="2"/>
    <x v="1"/>
    <x v="0"/>
    <x v="6"/>
    <n v="16"/>
    <n v="1055"/>
    <n v="16880"/>
    <x v="0"/>
    <x v="1"/>
    <s v="2026"/>
    <x v="3"/>
    <d v="2026-02-09T00:00:00"/>
    <d v="1978-03-02T00:00:00"/>
    <n v="47"/>
    <x v="1"/>
  </r>
  <r>
    <x v="200"/>
    <x v="0"/>
    <x v="2"/>
    <x v="0"/>
    <x v="6"/>
    <n v="25"/>
    <n v="956"/>
    <n v="23900"/>
    <x v="1"/>
    <x v="1"/>
    <s v="2026"/>
    <x v="0"/>
    <d v="2026-04-28T00:00:00"/>
    <d v="1984-07-03T00:00:00"/>
    <n v="41"/>
    <x v="0"/>
  </r>
  <r>
    <x v="201"/>
    <x v="2"/>
    <x v="7"/>
    <x v="2"/>
    <x v="8"/>
    <n v="33"/>
    <n v="528"/>
    <n v="17424"/>
    <x v="0"/>
    <x v="2"/>
    <s v="2026"/>
    <x v="10"/>
    <d v="2026-08-10T00:00:00"/>
    <d v="1972-02-05T00:00:00"/>
    <n v="54"/>
    <x v="1"/>
  </r>
  <r>
    <x v="202"/>
    <x v="1"/>
    <x v="4"/>
    <x v="1"/>
    <x v="7"/>
    <n v="14"/>
    <n v="1274"/>
    <n v="17836"/>
    <x v="1"/>
    <x v="0"/>
    <s v="2026"/>
    <x v="5"/>
    <d v="2026-06-02T00:00:00"/>
    <d v="1985-05-09T00:00:00"/>
    <n v="41"/>
    <x v="0"/>
  </r>
  <r>
    <x v="203"/>
    <x v="0"/>
    <x v="4"/>
    <x v="1"/>
    <x v="4"/>
    <n v="35"/>
    <n v="96"/>
    <n v="3360"/>
    <x v="1"/>
    <x v="2"/>
    <s v="2026"/>
    <x v="3"/>
    <d v="2026-02-14T00:00:00"/>
    <d v="1965-02-23T00:00:00"/>
    <n v="60"/>
    <x v="1"/>
  </r>
  <r>
    <x v="204"/>
    <x v="0"/>
    <x v="2"/>
    <x v="3"/>
    <x v="14"/>
    <n v="26"/>
    <n v="5"/>
    <n v="130"/>
    <x v="1"/>
    <x v="1"/>
    <s v="2026"/>
    <x v="9"/>
    <d v="2026-10-18T00:00:00"/>
    <d v="1997-05-23T00:00:00"/>
    <n v="29"/>
    <x v="2"/>
  </r>
  <r>
    <x v="205"/>
    <x v="1"/>
    <x v="6"/>
    <x v="1"/>
    <x v="2"/>
    <n v="29"/>
    <n v="1206"/>
    <n v="34974"/>
    <x v="0"/>
    <x v="2"/>
    <s v="2026"/>
    <x v="4"/>
    <d v="2026-05-27T00:00:00"/>
    <d v="2004-04-15T00:00:00"/>
    <n v="22"/>
    <x v="2"/>
  </r>
  <r>
    <x v="206"/>
    <x v="2"/>
    <x v="7"/>
    <x v="3"/>
    <x v="16"/>
    <n v="36"/>
    <n v="25"/>
    <n v="900"/>
    <x v="0"/>
    <x v="1"/>
    <s v="2026"/>
    <x v="1"/>
    <d v="2026-03-07T00:00:00"/>
    <d v="1997-04-14T00:00:00"/>
    <n v="28"/>
    <x v="2"/>
  </r>
  <r>
    <x v="207"/>
    <x v="0"/>
    <x v="2"/>
    <x v="2"/>
    <x v="3"/>
    <n v="31"/>
    <n v="581"/>
    <n v="18011"/>
    <x v="1"/>
    <x v="1"/>
    <s v="2026"/>
    <x v="10"/>
    <d v="2026-08-05T00:00:00"/>
    <d v="1976-10-25T00:00:00"/>
    <n v="49"/>
    <x v="1"/>
  </r>
  <r>
    <x v="208"/>
    <x v="2"/>
    <x v="4"/>
    <x v="1"/>
    <x v="2"/>
    <n v="48"/>
    <n v="692"/>
    <n v="33216"/>
    <x v="1"/>
    <x v="1"/>
    <s v="2026"/>
    <x v="9"/>
    <d v="2026-10-11T00:00:00"/>
    <d v="1987-06-16T00:00:00"/>
    <n v="39"/>
    <x v="0"/>
  </r>
  <r>
    <x v="209"/>
    <x v="3"/>
    <x v="7"/>
    <x v="3"/>
    <x v="16"/>
    <n v="44"/>
    <n v="9"/>
    <n v="396"/>
    <x v="1"/>
    <x v="2"/>
    <s v="2026"/>
    <x v="2"/>
    <d v="2026-07-19T00:00:00"/>
    <d v="1999-03-07T00:00:00"/>
    <n v="27"/>
    <x v="2"/>
  </r>
  <r>
    <x v="210"/>
    <x v="2"/>
    <x v="6"/>
    <x v="2"/>
    <x v="10"/>
    <n v="38"/>
    <n v="541"/>
    <n v="20558"/>
    <x v="0"/>
    <x v="1"/>
    <s v="2026"/>
    <x v="1"/>
    <d v="2026-03-17T00:00:00"/>
    <d v="1973-01-06T00:00:00"/>
    <n v="53"/>
    <x v="1"/>
  </r>
  <r>
    <x v="211"/>
    <x v="0"/>
    <x v="3"/>
    <x v="0"/>
    <x v="11"/>
    <n v="2"/>
    <n v="1003"/>
    <n v="2006"/>
    <x v="0"/>
    <x v="2"/>
    <s v="2026"/>
    <x v="5"/>
    <d v="2026-06-14T00:00:00"/>
    <d v="1987-10-10T00:00:00"/>
    <n v="38"/>
    <x v="0"/>
  </r>
  <r>
    <x v="212"/>
    <x v="3"/>
    <x v="5"/>
    <x v="1"/>
    <x v="1"/>
    <n v="46"/>
    <n v="362"/>
    <n v="16652"/>
    <x v="1"/>
    <x v="2"/>
    <s v="2026"/>
    <x v="7"/>
    <d v="2026-09-07T00:00:00"/>
    <d v="2005-12-09T00:00:00"/>
    <n v="20"/>
    <x v="2"/>
  </r>
  <r>
    <x v="213"/>
    <x v="3"/>
    <x v="5"/>
    <x v="2"/>
    <x v="8"/>
    <n v="35"/>
    <n v="400"/>
    <n v="14000"/>
    <x v="0"/>
    <x v="1"/>
    <s v="2026"/>
    <x v="7"/>
    <d v="2026-09-12T00:00:00"/>
    <d v="1969-10-10T00:00:00"/>
    <n v="56"/>
    <x v="1"/>
  </r>
  <r>
    <x v="214"/>
    <x v="3"/>
    <x v="1"/>
    <x v="3"/>
    <x v="18"/>
    <n v="20"/>
    <n v="16"/>
    <n v="320"/>
    <x v="1"/>
    <x v="2"/>
    <s v="2026"/>
    <x v="4"/>
    <d v="2026-05-25T00:00:00"/>
    <d v="2004-01-19T00:00:00"/>
    <n v="22"/>
    <x v="2"/>
  </r>
  <r>
    <x v="215"/>
    <x v="2"/>
    <x v="3"/>
    <x v="1"/>
    <x v="4"/>
    <n v="36"/>
    <n v="640"/>
    <n v="23040"/>
    <x v="1"/>
    <x v="1"/>
    <s v="2026"/>
    <x v="4"/>
    <d v="2026-05-04T00:00:00"/>
    <d v="1993-01-18T00:00:00"/>
    <n v="33"/>
    <x v="0"/>
  </r>
  <r>
    <x v="216"/>
    <x v="2"/>
    <x v="4"/>
    <x v="3"/>
    <x v="14"/>
    <n v="19"/>
    <n v="47"/>
    <n v="893"/>
    <x v="1"/>
    <x v="1"/>
    <s v="2026"/>
    <x v="3"/>
    <d v="2026-02-12T00:00:00"/>
    <d v="1978-05-22T00:00:00"/>
    <n v="47"/>
    <x v="1"/>
  </r>
  <r>
    <x v="217"/>
    <x v="0"/>
    <x v="0"/>
    <x v="2"/>
    <x v="12"/>
    <n v="18"/>
    <n v="625"/>
    <n v="11250"/>
    <x v="0"/>
    <x v="1"/>
    <s v="2026"/>
    <x v="11"/>
    <d v="2026-12-09T00:00:00"/>
    <d v="2002-10-03T00:00:00"/>
    <n v="24"/>
    <x v="2"/>
  </r>
  <r>
    <x v="218"/>
    <x v="2"/>
    <x v="2"/>
    <x v="0"/>
    <x v="9"/>
    <n v="15"/>
    <n v="576"/>
    <n v="8640"/>
    <x v="1"/>
    <x v="1"/>
    <s v="2026"/>
    <x v="8"/>
    <d v="2026-01-04T00:00:00"/>
    <d v="1993-08-30T00:00:00"/>
    <n v="32"/>
    <x v="0"/>
  </r>
  <r>
    <x v="219"/>
    <x v="2"/>
    <x v="5"/>
    <x v="2"/>
    <x v="10"/>
    <n v="36"/>
    <n v="211"/>
    <n v="7596"/>
    <x v="0"/>
    <x v="2"/>
    <s v="2026"/>
    <x v="2"/>
    <d v="2026-07-21T00:00:00"/>
    <d v="1987-10-10T00:00:00"/>
    <n v="38"/>
    <x v="0"/>
  </r>
  <r>
    <x v="220"/>
    <x v="0"/>
    <x v="7"/>
    <x v="3"/>
    <x v="16"/>
    <n v="42"/>
    <n v="5"/>
    <n v="210"/>
    <x v="0"/>
    <x v="2"/>
    <s v="2026"/>
    <x v="3"/>
    <d v="2026-02-21T00:00:00"/>
    <d v="1992-04-26T00:00:00"/>
    <n v="33"/>
    <x v="0"/>
  </r>
  <r>
    <x v="221"/>
    <x v="3"/>
    <x v="7"/>
    <x v="2"/>
    <x v="10"/>
    <n v="26"/>
    <n v="557"/>
    <n v="14482"/>
    <x v="0"/>
    <x v="2"/>
    <s v="2026"/>
    <x v="1"/>
    <d v="2026-03-24T00:00:00"/>
    <d v="1973-12-03T00:00:00"/>
    <n v="52"/>
    <x v="1"/>
  </r>
  <r>
    <x v="222"/>
    <x v="2"/>
    <x v="6"/>
    <x v="0"/>
    <x v="6"/>
    <n v="19"/>
    <n v="1030"/>
    <n v="19570"/>
    <x v="1"/>
    <x v="2"/>
    <s v="2026"/>
    <x v="6"/>
    <d v="2026-11-18T00:00:00"/>
    <d v="1971-11-10T00:00:00"/>
    <n v="55"/>
    <x v="1"/>
  </r>
  <r>
    <x v="223"/>
    <x v="3"/>
    <x v="6"/>
    <x v="2"/>
    <x v="10"/>
    <n v="22"/>
    <n v="216"/>
    <n v="4752"/>
    <x v="0"/>
    <x v="0"/>
    <s v="2026"/>
    <x v="11"/>
    <d v="2026-12-15T00:00:00"/>
    <d v="1981-10-10T00:00:00"/>
    <n v="45"/>
    <x v="0"/>
  </r>
  <r>
    <x v="224"/>
    <x v="2"/>
    <x v="3"/>
    <x v="3"/>
    <x v="16"/>
    <n v="37"/>
    <n v="45"/>
    <n v="1665"/>
    <x v="1"/>
    <x v="1"/>
    <s v="2026"/>
    <x v="0"/>
    <d v="2026-04-06T00:00:00"/>
    <d v="1999-03-16T00:00:00"/>
    <n v="27"/>
    <x v="2"/>
  </r>
  <r>
    <x v="225"/>
    <x v="0"/>
    <x v="7"/>
    <x v="1"/>
    <x v="1"/>
    <n v="12"/>
    <n v="367"/>
    <n v="4404"/>
    <x v="1"/>
    <x v="2"/>
    <s v="2026"/>
    <x v="10"/>
    <d v="2026-08-11T00:00:00"/>
    <d v="1972-03-31T00:00:00"/>
    <n v="54"/>
    <x v="1"/>
  </r>
  <r>
    <x v="226"/>
    <x v="1"/>
    <x v="4"/>
    <x v="2"/>
    <x v="8"/>
    <n v="49"/>
    <n v="323"/>
    <n v="15827"/>
    <x v="1"/>
    <x v="0"/>
    <s v="2026"/>
    <x v="5"/>
    <d v="2026-06-10T00:00:00"/>
    <d v="1989-03-13T00:00:00"/>
    <n v="37"/>
    <x v="0"/>
  </r>
  <r>
    <x v="227"/>
    <x v="0"/>
    <x v="3"/>
    <x v="2"/>
    <x v="10"/>
    <n v="43"/>
    <n v="171"/>
    <n v="7353"/>
    <x v="1"/>
    <x v="0"/>
    <s v="2026"/>
    <x v="10"/>
    <d v="2026-08-10T00:00:00"/>
    <d v="1999-12-06T00:00:00"/>
    <n v="26"/>
    <x v="2"/>
  </r>
  <r>
    <x v="228"/>
    <x v="2"/>
    <x v="6"/>
    <x v="0"/>
    <x v="6"/>
    <n v="24"/>
    <n v="552"/>
    <n v="13248"/>
    <x v="1"/>
    <x v="0"/>
    <s v="2026"/>
    <x v="0"/>
    <d v="2026-04-05T00:00:00"/>
    <d v="1988-10-16T00:00:00"/>
    <n v="37"/>
    <x v="0"/>
  </r>
  <r>
    <x v="229"/>
    <x v="0"/>
    <x v="1"/>
    <x v="3"/>
    <x v="15"/>
    <n v="45"/>
    <n v="37"/>
    <n v="1665"/>
    <x v="0"/>
    <x v="0"/>
    <s v="2026"/>
    <x v="10"/>
    <d v="2026-08-25T00:00:00"/>
    <d v="1965-01-10T00:00:00"/>
    <n v="61"/>
    <x v="3"/>
  </r>
  <r>
    <x v="230"/>
    <x v="1"/>
    <x v="7"/>
    <x v="1"/>
    <x v="2"/>
    <n v="46"/>
    <n v="820"/>
    <n v="37720"/>
    <x v="0"/>
    <x v="0"/>
    <s v="2026"/>
    <x v="3"/>
    <d v="2026-02-19T00:00:00"/>
    <d v="1991-11-14T00:00:00"/>
    <n v="34"/>
    <x v="0"/>
  </r>
  <r>
    <x v="231"/>
    <x v="0"/>
    <x v="5"/>
    <x v="2"/>
    <x v="5"/>
    <n v="21"/>
    <n v="582"/>
    <n v="12222"/>
    <x v="0"/>
    <x v="0"/>
    <s v="2026"/>
    <x v="10"/>
    <d v="2026-08-04T00:00:00"/>
    <d v="1979-07-17T00:00:00"/>
    <n v="47"/>
    <x v="1"/>
  </r>
  <r>
    <x v="232"/>
    <x v="2"/>
    <x v="7"/>
    <x v="1"/>
    <x v="1"/>
    <n v="30"/>
    <n v="350"/>
    <n v="10500"/>
    <x v="1"/>
    <x v="0"/>
    <s v="2026"/>
    <x v="7"/>
    <d v="2026-09-14T00:00:00"/>
    <d v="1986-12-02T00:00:00"/>
    <n v="39"/>
    <x v="0"/>
  </r>
  <r>
    <x v="233"/>
    <x v="0"/>
    <x v="0"/>
    <x v="3"/>
    <x v="14"/>
    <n v="26"/>
    <n v="18"/>
    <n v="468"/>
    <x v="0"/>
    <x v="2"/>
    <s v="2026"/>
    <x v="8"/>
    <d v="2026-01-24T00:00:00"/>
    <d v="1965-11-16T00:00:00"/>
    <n v="60"/>
    <x v="1"/>
  </r>
  <r>
    <x v="234"/>
    <x v="1"/>
    <x v="4"/>
    <x v="3"/>
    <x v="14"/>
    <n v="35"/>
    <n v="5"/>
    <n v="175"/>
    <x v="1"/>
    <x v="1"/>
    <s v="2026"/>
    <x v="3"/>
    <d v="2026-02-16T00:00:00"/>
    <d v="1970-01-07T00:00:00"/>
    <n v="56"/>
    <x v="1"/>
  </r>
  <r>
    <x v="235"/>
    <x v="2"/>
    <x v="3"/>
    <x v="2"/>
    <x v="8"/>
    <n v="24"/>
    <n v="441"/>
    <n v="10584"/>
    <x v="0"/>
    <x v="0"/>
    <s v="2026"/>
    <x v="10"/>
    <d v="2026-08-28T00:00:00"/>
    <d v="1981-04-14T00:00:00"/>
    <n v="45"/>
    <x v="0"/>
  </r>
  <r>
    <x v="236"/>
    <x v="0"/>
    <x v="1"/>
    <x v="2"/>
    <x v="3"/>
    <n v="8"/>
    <n v="232"/>
    <n v="1856"/>
    <x v="0"/>
    <x v="1"/>
    <s v="2026"/>
    <x v="7"/>
    <d v="2026-09-13T00:00:00"/>
    <d v="2004-06-01T00:00:00"/>
    <n v="22"/>
    <x v="2"/>
  </r>
  <r>
    <x v="237"/>
    <x v="2"/>
    <x v="1"/>
    <x v="3"/>
    <x v="15"/>
    <n v="44"/>
    <n v="48"/>
    <n v="2112"/>
    <x v="0"/>
    <x v="2"/>
    <s v="2026"/>
    <x v="7"/>
    <d v="2026-09-14T00:00:00"/>
    <d v="2002-04-23T00:00:00"/>
    <n v="24"/>
    <x v="2"/>
  </r>
  <r>
    <x v="238"/>
    <x v="1"/>
    <x v="7"/>
    <x v="3"/>
    <x v="17"/>
    <n v="18"/>
    <n v="14"/>
    <n v="252"/>
    <x v="1"/>
    <x v="0"/>
    <s v="2026"/>
    <x v="11"/>
    <d v="2026-12-25T00:00:00"/>
    <d v="2001-03-11T00:00:00"/>
    <n v="25"/>
    <x v="2"/>
  </r>
  <r>
    <x v="239"/>
    <x v="1"/>
    <x v="5"/>
    <x v="0"/>
    <x v="11"/>
    <n v="14"/>
    <n v="237"/>
    <n v="3318"/>
    <x v="0"/>
    <x v="1"/>
    <s v="2026"/>
    <x v="3"/>
    <d v="2026-02-20T00:00:00"/>
    <d v="1978-10-18T00:00:00"/>
    <n v="47"/>
    <x v="1"/>
  </r>
  <r>
    <x v="240"/>
    <x v="1"/>
    <x v="6"/>
    <x v="0"/>
    <x v="13"/>
    <n v="29"/>
    <n v="579"/>
    <n v="16791"/>
    <x v="1"/>
    <x v="1"/>
    <s v="2026"/>
    <x v="7"/>
    <d v="2026-09-07T00:00:00"/>
    <d v="1975-09-29T00:00:00"/>
    <n v="50"/>
    <x v="1"/>
  </r>
  <r>
    <x v="241"/>
    <x v="3"/>
    <x v="6"/>
    <x v="3"/>
    <x v="18"/>
    <n v="39"/>
    <n v="45"/>
    <n v="1755"/>
    <x v="0"/>
    <x v="2"/>
    <s v="2026"/>
    <x v="5"/>
    <d v="2026-06-08T00:00:00"/>
    <d v="1967-08-08T00:00:00"/>
    <n v="58"/>
    <x v="1"/>
  </r>
  <r>
    <x v="242"/>
    <x v="0"/>
    <x v="3"/>
    <x v="3"/>
    <x v="16"/>
    <n v="4"/>
    <n v="37"/>
    <n v="148"/>
    <x v="1"/>
    <x v="1"/>
    <s v="2026"/>
    <x v="9"/>
    <d v="2026-10-24T00:00:00"/>
    <d v="1975-10-22T00:00:00"/>
    <n v="51"/>
    <x v="1"/>
  </r>
  <r>
    <x v="243"/>
    <x v="2"/>
    <x v="6"/>
    <x v="3"/>
    <x v="15"/>
    <n v="34"/>
    <n v="22"/>
    <n v="748"/>
    <x v="1"/>
    <x v="2"/>
    <s v="2026"/>
    <x v="11"/>
    <d v="2026-12-14T00:00:00"/>
    <d v="2004-05-21T00:00:00"/>
    <n v="22"/>
    <x v="2"/>
  </r>
  <r>
    <x v="244"/>
    <x v="0"/>
    <x v="5"/>
    <x v="2"/>
    <x v="12"/>
    <n v="31"/>
    <n v="296"/>
    <n v="9176"/>
    <x v="0"/>
    <x v="0"/>
    <s v="2026"/>
    <x v="0"/>
    <d v="2026-04-10T00:00:00"/>
    <d v="1990-06-14T00:00:00"/>
    <n v="35"/>
    <x v="0"/>
  </r>
  <r>
    <x v="245"/>
    <x v="0"/>
    <x v="4"/>
    <x v="1"/>
    <x v="19"/>
    <n v="36"/>
    <n v="1165"/>
    <n v="41940"/>
    <x v="0"/>
    <x v="2"/>
    <s v="2026"/>
    <x v="1"/>
    <d v="2026-03-13T00:00:00"/>
    <d v="1968-07-14T00:00:00"/>
    <n v="57"/>
    <x v="1"/>
  </r>
  <r>
    <x v="246"/>
    <x v="0"/>
    <x v="7"/>
    <x v="0"/>
    <x v="13"/>
    <n v="24"/>
    <n v="289"/>
    <n v="6936"/>
    <x v="1"/>
    <x v="2"/>
    <s v="2026"/>
    <x v="7"/>
    <d v="2026-09-24T00:00:00"/>
    <d v="1968-11-04T00:00:00"/>
    <n v="57"/>
    <x v="1"/>
  </r>
  <r>
    <x v="247"/>
    <x v="3"/>
    <x v="4"/>
    <x v="0"/>
    <x v="0"/>
    <n v="13"/>
    <n v="544"/>
    <n v="7072"/>
    <x v="0"/>
    <x v="1"/>
    <s v="2026"/>
    <x v="10"/>
    <d v="2026-08-07T00:00:00"/>
    <d v="1997-10-31T00:00:00"/>
    <n v="28"/>
    <x v="2"/>
  </r>
  <r>
    <x v="248"/>
    <x v="0"/>
    <x v="3"/>
    <x v="2"/>
    <x v="10"/>
    <n v="48"/>
    <n v="540"/>
    <n v="25920"/>
    <x v="0"/>
    <x v="0"/>
    <s v="2026"/>
    <x v="0"/>
    <d v="2026-04-23T00:00:00"/>
    <d v="1986-10-20T00:00:00"/>
    <n v="39"/>
    <x v="0"/>
  </r>
  <r>
    <x v="249"/>
    <x v="3"/>
    <x v="4"/>
    <x v="3"/>
    <x v="16"/>
    <n v="25"/>
    <n v="31"/>
    <n v="775"/>
    <x v="1"/>
    <x v="2"/>
    <s v="2026"/>
    <x v="7"/>
    <d v="2026-09-21T00:00:00"/>
    <d v="2001-08-09T00:00:00"/>
    <n v="25"/>
    <x v="2"/>
  </r>
  <r>
    <x v="250"/>
    <x v="3"/>
    <x v="2"/>
    <x v="1"/>
    <x v="19"/>
    <n v="7"/>
    <n v="1041"/>
    <n v="7287"/>
    <x v="1"/>
    <x v="1"/>
    <s v="2026"/>
    <x v="5"/>
    <d v="2026-06-07T00:00:00"/>
    <d v="1968-02-08T00:00:00"/>
    <n v="58"/>
    <x v="1"/>
  </r>
  <r>
    <x v="251"/>
    <x v="2"/>
    <x v="4"/>
    <x v="2"/>
    <x v="5"/>
    <n v="2"/>
    <n v="317"/>
    <n v="634"/>
    <x v="0"/>
    <x v="1"/>
    <s v="2026"/>
    <x v="7"/>
    <d v="2026-09-19T00:00:00"/>
    <d v="1999-02-13T00:00:00"/>
    <n v="27"/>
    <x v="2"/>
  </r>
  <r>
    <x v="252"/>
    <x v="3"/>
    <x v="4"/>
    <x v="3"/>
    <x v="17"/>
    <n v="25"/>
    <n v="38"/>
    <n v="950"/>
    <x v="1"/>
    <x v="0"/>
    <s v="2026"/>
    <x v="0"/>
    <d v="2026-04-16T00:00:00"/>
    <d v="1988-11-23T00:00:00"/>
    <n v="37"/>
    <x v="0"/>
  </r>
  <r>
    <x v="253"/>
    <x v="2"/>
    <x v="6"/>
    <x v="1"/>
    <x v="19"/>
    <n v="11"/>
    <n v="801"/>
    <n v="8811"/>
    <x v="0"/>
    <x v="0"/>
    <s v="2026"/>
    <x v="1"/>
    <d v="2026-03-05T00:00:00"/>
    <d v="1999-05-10T00:00:00"/>
    <n v="26"/>
    <x v="2"/>
  </r>
  <r>
    <x v="254"/>
    <x v="0"/>
    <x v="1"/>
    <x v="0"/>
    <x v="0"/>
    <n v="43"/>
    <n v="199"/>
    <n v="8557"/>
    <x v="0"/>
    <x v="0"/>
    <s v="2026"/>
    <x v="8"/>
    <d v="2026-01-14T00:00:00"/>
    <d v="1970-08-23T00:00:00"/>
    <n v="55"/>
    <x v="1"/>
  </r>
  <r>
    <x v="255"/>
    <x v="1"/>
    <x v="5"/>
    <x v="2"/>
    <x v="10"/>
    <n v="14"/>
    <n v="567"/>
    <n v="7938"/>
    <x v="1"/>
    <x v="1"/>
    <s v="2026"/>
    <x v="10"/>
    <d v="2026-08-12T00:00:00"/>
    <d v="1970-10-05T00:00:00"/>
    <n v="55"/>
    <x v="1"/>
  </r>
  <r>
    <x v="256"/>
    <x v="3"/>
    <x v="4"/>
    <x v="0"/>
    <x v="9"/>
    <n v="36"/>
    <n v="942"/>
    <n v="33912"/>
    <x v="0"/>
    <x v="0"/>
    <s v="2026"/>
    <x v="8"/>
    <d v="2026-01-01T00:00:00"/>
    <d v="1994-08-06T00:00:00"/>
    <n v="31"/>
    <x v="0"/>
  </r>
  <r>
    <x v="257"/>
    <x v="0"/>
    <x v="1"/>
    <x v="1"/>
    <x v="7"/>
    <n v="7"/>
    <n v="277"/>
    <n v="1939"/>
    <x v="1"/>
    <x v="2"/>
    <s v="2026"/>
    <x v="7"/>
    <d v="2026-09-05T00:00:00"/>
    <d v="1986-04-28T00:00:00"/>
    <n v="40"/>
    <x v="0"/>
  </r>
  <r>
    <x v="258"/>
    <x v="0"/>
    <x v="1"/>
    <x v="3"/>
    <x v="15"/>
    <n v="6"/>
    <n v="25"/>
    <n v="150"/>
    <x v="1"/>
    <x v="0"/>
    <s v="2026"/>
    <x v="2"/>
    <d v="2026-07-15T00:00:00"/>
    <d v="1989-08-30T00:00:00"/>
    <n v="36"/>
    <x v="0"/>
  </r>
  <r>
    <x v="259"/>
    <x v="2"/>
    <x v="7"/>
    <x v="0"/>
    <x v="0"/>
    <n v="6"/>
    <n v="930"/>
    <n v="5580"/>
    <x v="0"/>
    <x v="0"/>
    <s v="2026"/>
    <x v="2"/>
    <d v="2026-07-13T00:00:00"/>
    <d v="1972-05-29T00:00:00"/>
    <n v="54"/>
    <x v="1"/>
  </r>
  <r>
    <x v="260"/>
    <x v="3"/>
    <x v="0"/>
    <x v="2"/>
    <x v="10"/>
    <n v="32"/>
    <n v="494"/>
    <n v="15808"/>
    <x v="0"/>
    <x v="1"/>
    <s v="2026"/>
    <x v="6"/>
    <d v="2026-11-26T00:00:00"/>
    <d v="1976-11-21T00:00:00"/>
    <n v="50"/>
    <x v="1"/>
  </r>
  <r>
    <x v="261"/>
    <x v="3"/>
    <x v="7"/>
    <x v="2"/>
    <x v="12"/>
    <n v="31"/>
    <n v="327"/>
    <n v="10137"/>
    <x v="0"/>
    <x v="2"/>
    <s v="2026"/>
    <x v="8"/>
    <d v="2026-01-03T00:00:00"/>
    <d v="1988-09-02T00:00:00"/>
    <n v="37"/>
    <x v="0"/>
  </r>
  <r>
    <x v="262"/>
    <x v="2"/>
    <x v="0"/>
    <x v="0"/>
    <x v="11"/>
    <n v="38"/>
    <n v="395"/>
    <n v="15010"/>
    <x v="1"/>
    <x v="1"/>
    <s v="2026"/>
    <x v="11"/>
    <d v="2026-12-27T00:00:00"/>
    <d v="2004-02-19T00:00:00"/>
    <n v="22"/>
    <x v="2"/>
  </r>
  <r>
    <x v="263"/>
    <x v="2"/>
    <x v="6"/>
    <x v="2"/>
    <x v="12"/>
    <n v="25"/>
    <n v="743"/>
    <n v="18575"/>
    <x v="0"/>
    <x v="0"/>
    <s v="2026"/>
    <x v="7"/>
    <d v="2026-09-11T00:00:00"/>
    <d v="1992-03-18T00:00:00"/>
    <n v="34"/>
    <x v="0"/>
  </r>
  <r>
    <x v="264"/>
    <x v="1"/>
    <x v="2"/>
    <x v="3"/>
    <x v="14"/>
    <n v="7"/>
    <n v="29"/>
    <n v="203"/>
    <x v="1"/>
    <x v="2"/>
    <s v="2026"/>
    <x v="0"/>
    <d v="2026-04-27T00:00:00"/>
    <d v="1983-12-25T00:00:00"/>
    <n v="42"/>
    <x v="0"/>
  </r>
  <r>
    <x v="265"/>
    <x v="2"/>
    <x v="3"/>
    <x v="0"/>
    <x v="6"/>
    <n v="29"/>
    <n v="1104"/>
    <n v="32016"/>
    <x v="0"/>
    <x v="0"/>
    <s v="2026"/>
    <x v="0"/>
    <d v="2026-04-12T00:00:00"/>
    <d v="1974-07-03T00:00:00"/>
    <n v="51"/>
    <x v="1"/>
  </r>
  <r>
    <x v="266"/>
    <x v="0"/>
    <x v="0"/>
    <x v="1"/>
    <x v="1"/>
    <n v="50"/>
    <n v="1346"/>
    <n v="67300"/>
    <x v="0"/>
    <x v="2"/>
    <s v="2026"/>
    <x v="4"/>
    <d v="2026-05-26T00:00:00"/>
    <d v="1989-03-11T00:00:00"/>
    <n v="37"/>
    <x v="0"/>
  </r>
  <r>
    <x v="267"/>
    <x v="2"/>
    <x v="2"/>
    <x v="2"/>
    <x v="8"/>
    <n v="46"/>
    <n v="699"/>
    <n v="32154"/>
    <x v="1"/>
    <x v="1"/>
    <s v="2026"/>
    <x v="1"/>
    <d v="2026-03-24T00:00:00"/>
    <d v="1998-11-18T00:00:00"/>
    <n v="27"/>
    <x v="2"/>
  </r>
  <r>
    <x v="268"/>
    <x v="3"/>
    <x v="0"/>
    <x v="0"/>
    <x v="0"/>
    <n v="20"/>
    <n v="1010"/>
    <n v="20200"/>
    <x v="0"/>
    <x v="1"/>
    <s v="2026"/>
    <x v="5"/>
    <d v="2026-06-25T00:00:00"/>
    <d v="1997-09-29T00:00:00"/>
    <n v="28"/>
    <x v="2"/>
  </r>
  <r>
    <x v="269"/>
    <x v="2"/>
    <x v="0"/>
    <x v="2"/>
    <x v="8"/>
    <n v="29"/>
    <n v="620"/>
    <n v="17980"/>
    <x v="0"/>
    <x v="1"/>
    <s v="2026"/>
    <x v="7"/>
    <d v="2026-09-17T00:00:00"/>
    <d v="1995-12-12T00:00:00"/>
    <n v="30"/>
    <x v="2"/>
  </r>
  <r>
    <x v="270"/>
    <x v="3"/>
    <x v="3"/>
    <x v="3"/>
    <x v="18"/>
    <n v="6"/>
    <n v="40"/>
    <n v="240"/>
    <x v="0"/>
    <x v="2"/>
    <s v="2026"/>
    <x v="9"/>
    <d v="2026-10-26T00:00:00"/>
    <d v="1974-01-09T00:00:00"/>
    <n v="52"/>
    <x v="1"/>
  </r>
  <r>
    <x v="271"/>
    <x v="0"/>
    <x v="6"/>
    <x v="1"/>
    <x v="19"/>
    <n v="50"/>
    <n v="253"/>
    <n v="12650"/>
    <x v="1"/>
    <x v="1"/>
    <s v="2026"/>
    <x v="11"/>
    <d v="2026-12-18T00:00:00"/>
    <d v="1996-12-24T00:00:00"/>
    <n v="29"/>
    <x v="2"/>
  </r>
  <r>
    <x v="272"/>
    <x v="1"/>
    <x v="6"/>
    <x v="2"/>
    <x v="3"/>
    <n v="20"/>
    <n v="324"/>
    <n v="6480"/>
    <x v="1"/>
    <x v="2"/>
    <s v="2026"/>
    <x v="10"/>
    <d v="2026-08-05T00:00:00"/>
    <d v="1978-12-26T00:00:00"/>
    <n v="47"/>
    <x v="1"/>
  </r>
  <r>
    <x v="273"/>
    <x v="0"/>
    <x v="5"/>
    <x v="1"/>
    <x v="4"/>
    <n v="31"/>
    <n v="237"/>
    <n v="7347"/>
    <x v="0"/>
    <x v="2"/>
    <s v="2026"/>
    <x v="5"/>
    <d v="2026-06-09T00:00:00"/>
    <d v="1982-11-25T00:00:00"/>
    <n v="43"/>
    <x v="0"/>
  </r>
  <r>
    <x v="274"/>
    <x v="2"/>
    <x v="2"/>
    <x v="0"/>
    <x v="11"/>
    <n v="20"/>
    <n v="113"/>
    <n v="2260"/>
    <x v="1"/>
    <x v="2"/>
    <s v="2026"/>
    <x v="2"/>
    <d v="2026-07-11T00:00:00"/>
    <d v="1995-02-17T00:00:00"/>
    <n v="31"/>
    <x v="0"/>
  </r>
  <r>
    <x v="275"/>
    <x v="0"/>
    <x v="5"/>
    <x v="1"/>
    <x v="2"/>
    <n v="9"/>
    <n v="695"/>
    <n v="6255"/>
    <x v="1"/>
    <x v="1"/>
    <s v="2026"/>
    <x v="5"/>
    <d v="2026-06-20T00:00:00"/>
    <d v="1994-02-25T00:00:00"/>
    <n v="32"/>
    <x v="0"/>
  </r>
  <r>
    <x v="276"/>
    <x v="0"/>
    <x v="2"/>
    <x v="1"/>
    <x v="4"/>
    <n v="19"/>
    <n v="1376"/>
    <n v="26144"/>
    <x v="1"/>
    <x v="2"/>
    <s v="2026"/>
    <x v="10"/>
    <d v="2026-08-19T00:00:00"/>
    <d v="1981-10-02T00:00:00"/>
    <n v="44"/>
    <x v="0"/>
  </r>
  <r>
    <x v="277"/>
    <x v="0"/>
    <x v="7"/>
    <x v="1"/>
    <x v="4"/>
    <n v="8"/>
    <n v="1234"/>
    <n v="9872"/>
    <x v="1"/>
    <x v="0"/>
    <s v="2026"/>
    <x v="0"/>
    <d v="2026-04-19T00:00:00"/>
    <d v="1984-08-26T00:00:00"/>
    <n v="41"/>
    <x v="0"/>
  </r>
  <r>
    <x v="278"/>
    <x v="2"/>
    <x v="5"/>
    <x v="2"/>
    <x v="8"/>
    <n v="19"/>
    <n v="759"/>
    <n v="14421"/>
    <x v="0"/>
    <x v="0"/>
    <s v="2026"/>
    <x v="3"/>
    <d v="2026-02-27T00:00:00"/>
    <d v="2005-05-10T00:00:00"/>
    <n v="20"/>
    <x v="2"/>
  </r>
  <r>
    <x v="279"/>
    <x v="2"/>
    <x v="3"/>
    <x v="3"/>
    <x v="17"/>
    <n v="17"/>
    <n v="44"/>
    <n v="748"/>
    <x v="0"/>
    <x v="2"/>
    <s v="2026"/>
    <x v="1"/>
    <d v="2026-03-23T00:00:00"/>
    <d v="1988-03-20T00:00:00"/>
    <n v="38"/>
    <x v="0"/>
  </r>
  <r>
    <x v="280"/>
    <x v="2"/>
    <x v="7"/>
    <x v="1"/>
    <x v="2"/>
    <n v="26"/>
    <n v="1174"/>
    <n v="30524"/>
    <x v="1"/>
    <x v="0"/>
    <s v="2026"/>
    <x v="7"/>
    <d v="2026-09-28T00:00:00"/>
    <d v="1985-04-03T00:00:00"/>
    <n v="41"/>
    <x v="0"/>
  </r>
  <r>
    <x v="281"/>
    <x v="3"/>
    <x v="6"/>
    <x v="0"/>
    <x v="0"/>
    <n v="50"/>
    <n v="608"/>
    <n v="30400"/>
    <x v="0"/>
    <x v="0"/>
    <s v="2026"/>
    <x v="6"/>
    <d v="2026-11-22T00:00:00"/>
    <d v="1970-06-06T00:00:00"/>
    <n v="56"/>
    <x v="1"/>
  </r>
  <r>
    <x v="282"/>
    <x v="3"/>
    <x v="1"/>
    <x v="1"/>
    <x v="4"/>
    <n v="28"/>
    <n v="296"/>
    <n v="8288"/>
    <x v="0"/>
    <x v="2"/>
    <s v="2026"/>
    <x v="8"/>
    <d v="2026-01-04T00:00:00"/>
    <d v="1976-02-14T00:00:00"/>
    <n v="49"/>
    <x v="1"/>
  </r>
  <r>
    <x v="283"/>
    <x v="0"/>
    <x v="2"/>
    <x v="3"/>
    <x v="15"/>
    <n v="30"/>
    <n v="45"/>
    <n v="1350"/>
    <x v="0"/>
    <x v="2"/>
    <s v="2026"/>
    <x v="9"/>
    <d v="2026-10-23T00:00:00"/>
    <d v="1975-01-30T00:00:00"/>
    <n v="51"/>
    <x v="1"/>
  </r>
  <r>
    <x v="284"/>
    <x v="0"/>
    <x v="2"/>
    <x v="0"/>
    <x v="6"/>
    <n v="27"/>
    <n v="275"/>
    <n v="7425"/>
    <x v="1"/>
    <x v="2"/>
    <s v="2026"/>
    <x v="3"/>
    <d v="2026-02-27T00:00:00"/>
    <d v="1967-11-16T00:00:00"/>
    <n v="58"/>
    <x v="1"/>
  </r>
  <r>
    <x v="285"/>
    <x v="1"/>
    <x v="5"/>
    <x v="1"/>
    <x v="7"/>
    <n v="34"/>
    <n v="1069"/>
    <n v="36346"/>
    <x v="1"/>
    <x v="2"/>
    <s v="2026"/>
    <x v="5"/>
    <d v="2026-06-16T00:00:00"/>
    <d v="1980-03-02T00:00:00"/>
    <n v="46"/>
    <x v="1"/>
  </r>
  <r>
    <x v="286"/>
    <x v="3"/>
    <x v="0"/>
    <x v="0"/>
    <x v="6"/>
    <n v="3"/>
    <n v="335"/>
    <n v="1005"/>
    <x v="0"/>
    <x v="0"/>
    <s v="2026"/>
    <x v="8"/>
    <d v="2026-01-28T00:00:00"/>
    <d v="1965-12-11T00:00:00"/>
    <n v="60"/>
    <x v="1"/>
  </r>
  <r>
    <x v="287"/>
    <x v="2"/>
    <x v="5"/>
    <x v="2"/>
    <x v="12"/>
    <n v="12"/>
    <n v="615"/>
    <n v="7380"/>
    <x v="0"/>
    <x v="2"/>
    <s v="2026"/>
    <x v="1"/>
    <d v="2026-03-11T00:00:00"/>
    <d v="1991-05-23T00:00:00"/>
    <n v="34"/>
    <x v="0"/>
  </r>
  <r>
    <x v="288"/>
    <x v="1"/>
    <x v="1"/>
    <x v="2"/>
    <x v="5"/>
    <n v="41"/>
    <n v="723"/>
    <n v="29643"/>
    <x v="1"/>
    <x v="0"/>
    <s v="2026"/>
    <x v="2"/>
    <d v="2026-07-13T00:00:00"/>
    <d v="1989-11-06T00:00:00"/>
    <n v="36"/>
    <x v="0"/>
  </r>
  <r>
    <x v="289"/>
    <x v="1"/>
    <x v="0"/>
    <x v="1"/>
    <x v="19"/>
    <n v="1"/>
    <n v="519"/>
    <n v="519"/>
    <x v="0"/>
    <x v="2"/>
    <s v="2026"/>
    <x v="0"/>
    <d v="2026-04-09T00:00:00"/>
    <d v="1975-04-29T00:00:00"/>
    <n v="50"/>
    <x v="1"/>
  </r>
  <r>
    <x v="290"/>
    <x v="2"/>
    <x v="2"/>
    <x v="3"/>
    <x v="17"/>
    <n v="30"/>
    <n v="9"/>
    <n v="270"/>
    <x v="1"/>
    <x v="0"/>
    <s v="2026"/>
    <x v="4"/>
    <d v="2026-05-22T00:00:00"/>
    <d v="1991-05-26T00:00:00"/>
    <n v="34"/>
    <x v="0"/>
  </r>
  <r>
    <x v="291"/>
    <x v="2"/>
    <x v="6"/>
    <x v="1"/>
    <x v="2"/>
    <n v="8"/>
    <n v="792"/>
    <n v="6336"/>
    <x v="1"/>
    <x v="0"/>
    <s v="2026"/>
    <x v="5"/>
    <d v="2026-06-28T00:00:00"/>
    <d v="1974-11-18T00:00:00"/>
    <n v="51"/>
    <x v="1"/>
  </r>
  <r>
    <x v="292"/>
    <x v="1"/>
    <x v="6"/>
    <x v="0"/>
    <x v="11"/>
    <n v="21"/>
    <n v="341"/>
    <n v="7161"/>
    <x v="1"/>
    <x v="0"/>
    <s v="2026"/>
    <x v="0"/>
    <d v="2026-04-10T00:00:00"/>
    <d v="1965-04-28T00:00:00"/>
    <n v="60"/>
    <x v="1"/>
  </r>
  <r>
    <x v="293"/>
    <x v="2"/>
    <x v="3"/>
    <x v="2"/>
    <x v="12"/>
    <n v="25"/>
    <n v="478"/>
    <n v="11950"/>
    <x v="0"/>
    <x v="2"/>
    <s v="2026"/>
    <x v="9"/>
    <d v="2026-10-05T00:00:00"/>
    <d v="1968-03-09T00:00:00"/>
    <n v="58"/>
    <x v="1"/>
  </r>
  <r>
    <x v="294"/>
    <x v="0"/>
    <x v="2"/>
    <x v="2"/>
    <x v="12"/>
    <n v="11"/>
    <n v="551"/>
    <n v="6061"/>
    <x v="1"/>
    <x v="0"/>
    <s v="2026"/>
    <x v="4"/>
    <d v="2026-05-05T00:00:00"/>
    <d v="1996-10-02T00:00:00"/>
    <n v="29"/>
    <x v="2"/>
  </r>
  <r>
    <x v="295"/>
    <x v="2"/>
    <x v="5"/>
    <x v="0"/>
    <x v="6"/>
    <n v="1"/>
    <n v="1092"/>
    <n v="1092"/>
    <x v="1"/>
    <x v="0"/>
    <s v="2026"/>
    <x v="1"/>
    <d v="2026-03-07T00:00:00"/>
    <d v="1993-04-23T00:00:00"/>
    <n v="32"/>
    <x v="0"/>
  </r>
  <r>
    <x v="296"/>
    <x v="1"/>
    <x v="7"/>
    <x v="1"/>
    <x v="19"/>
    <n v="46"/>
    <n v="989"/>
    <n v="45494"/>
    <x v="0"/>
    <x v="2"/>
    <s v="2026"/>
    <x v="10"/>
    <d v="2026-08-06T00:00:00"/>
    <d v="1967-08-23T00:00:00"/>
    <n v="58"/>
    <x v="1"/>
  </r>
  <r>
    <x v="297"/>
    <x v="2"/>
    <x v="5"/>
    <x v="0"/>
    <x v="6"/>
    <n v="15"/>
    <n v="691"/>
    <n v="10365"/>
    <x v="0"/>
    <x v="0"/>
    <s v="2026"/>
    <x v="1"/>
    <d v="2026-03-25T00:00:00"/>
    <d v="1975-04-09T00:00:00"/>
    <n v="50"/>
    <x v="1"/>
  </r>
  <r>
    <x v="298"/>
    <x v="1"/>
    <x v="5"/>
    <x v="0"/>
    <x v="6"/>
    <n v="50"/>
    <n v="851"/>
    <n v="42550"/>
    <x v="0"/>
    <x v="2"/>
    <s v="2026"/>
    <x v="7"/>
    <d v="2026-09-27T00:00:00"/>
    <d v="1968-01-10T00:00:00"/>
    <n v="58"/>
    <x v="1"/>
  </r>
  <r>
    <x v="299"/>
    <x v="3"/>
    <x v="0"/>
    <x v="0"/>
    <x v="11"/>
    <n v="20"/>
    <n v="166"/>
    <n v="3320"/>
    <x v="1"/>
    <x v="1"/>
    <s v="2026"/>
    <x v="10"/>
    <d v="2026-08-09T00:00:00"/>
    <d v="2005-08-13T00:00:00"/>
    <n v="20"/>
    <x v="2"/>
  </r>
  <r>
    <x v="300"/>
    <x v="2"/>
    <x v="6"/>
    <x v="2"/>
    <x v="5"/>
    <n v="48"/>
    <n v="652"/>
    <n v="31296"/>
    <x v="0"/>
    <x v="1"/>
    <s v="2026"/>
    <x v="11"/>
    <d v="2026-12-12T00:00:00"/>
    <d v="1966-05-30T00:00:00"/>
    <n v="60"/>
    <x v="1"/>
  </r>
  <r>
    <x v="301"/>
    <x v="0"/>
    <x v="2"/>
    <x v="2"/>
    <x v="10"/>
    <n v="37"/>
    <n v="409"/>
    <n v="15133"/>
    <x v="1"/>
    <x v="2"/>
    <s v="2026"/>
    <x v="7"/>
    <d v="2026-09-09T00:00:00"/>
    <d v="2003-07-25T00:00:00"/>
    <n v="23"/>
    <x v="2"/>
  </r>
  <r>
    <x v="302"/>
    <x v="2"/>
    <x v="7"/>
    <x v="3"/>
    <x v="18"/>
    <n v="44"/>
    <n v="8"/>
    <n v="352"/>
    <x v="1"/>
    <x v="0"/>
    <s v="2026"/>
    <x v="1"/>
    <d v="2026-03-25T00:00:00"/>
    <d v="1979-10-28T00:00:00"/>
    <n v="46"/>
    <x v="1"/>
  </r>
  <r>
    <x v="303"/>
    <x v="0"/>
    <x v="3"/>
    <x v="2"/>
    <x v="5"/>
    <n v="16"/>
    <n v="199"/>
    <n v="3184"/>
    <x v="1"/>
    <x v="1"/>
    <s v="2026"/>
    <x v="11"/>
    <d v="2026-12-11T00:00:00"/>
    <d v="1968-03-06T00:00:00"/>
    <n v="58"/>
    <x v="1"/>
  </r>
  <r>
    <x v="304"/>
    <x v="1"/>
    <x v="3"/>
    <x v="3"/>
    <x v="15"/>
    <n v="25"/>
    <n v="30"/>
    <n v="750"/>
    <x v="1"/>
    <x v="0"/>
    <s v="2026"/>
    <x v="3"/>
    <d v="2026-02-21T00:00:00"/>
    <d v="1988-01-24T00:00:00"/>
    <n v="38"/>
    <x v="0"/>
  </r>
  <r>
    <x v="305"/>
    <x v="1"/>
    <x v="5"/>
    <x v="3"/>
    <x v="15"/>
    <n v="32"/>
    <n v="22"/>
    <n v="704"/>
    <x v="1"/>
    <x v="1"/>
    <s v="2026"/>
    <x v="9"/>
    <d v="2026-10-01T00:00:00"/>
    <d v="1975-09-05T00:00:00"/>
    <n v="51"/>
    <x v="1"/>
  </r>
  <r>
    <x v="306"/>
    <x v="3"/>
    <x v="4"/>
    <x v="1"/>
    <x v="7"/>
    <n v="28"/>
    <n v="513"/>
    <n v="14364"/>
    <x v="1"/>
    <x v="0"/>
    <s v="2026"/>
    <x v="10"/>
    <d v="2026-08-09T00:00:00"/>
    <d v="1977-06-29T00:00:00"/>
    <n v="49"/>
    <x v="1"/>
  </r>
  <r>
    <x v="307"/>
    <x v="1"/>
    <x v="7"/>
    <x v="2"/>
    <x v="12"/>
    <n v="32"/>
    <n v="401"/>
    <n v="12832"/>
    <x v="0"/>
    <x v="0"/>
    <s v="2026"/>
    <x v="6"/>
    <d v="2026-11-25T00:00:00"/>
    <d v="1995-01-04T00:00:00"/>
    <n v="31"/>
    <x v="0"/>
  </r>
  <r>
    <x v="308"/>
    <x v="1"/>
    <x v="3"/>
    <x v="1"/>
    <x v="1"/>
    <n v="8"/>
    <n v="403"/>
    <n v="3224"/>
    <x v="0"/>
    <x v="0"/>
    <s v="2026"/>
    <x v="10"/>
    <d v="2026-08-15T00:00:00"/>
    <d v="1986-10-11T00:00:00"/>
    <n v="39"/>
    <x v="0"/>
  </r>
  <r>
    <x v="309"/>
    <x v="3"/>
    <x v="4"/>
    <x v="2"/>
    <x v="3"/>
    <n v="11"/>
    <n v="330"/>
    <n v="3630"/>
    <x v="0"/>
    <x v="2"/>
    <s v="2026"/>
    <x v="3"/>
    <d v="2026-02-21T00:00:00"/>
    <d v="1974-08-12T00:00:00"/>
    <n v="51"/>
    <x v="1"/>
  </r>
  <r>
    <x v="310"/>
    <x v="0"/>
    <x v="3"/>
    <x v="2"/>
    <x v="10"/>
    <n v="26"/>
    <n v="690"/>
    <n v="17940"/>
    <x v="0"/>
    <x v="0"/>
    <s v="2026"/>
    <x v="4"/>
    <d v="2026-05-24T00:00:00"/>
    <d v="1989-03-10T00:00:00"/>
    <n v="37"/>
    <x v="0"/>
  </r>
  <r>
    <x v="311"/>
    <x v="0"/>
    <x v="5"/>
    <x v="0"/>
    <x v="0"/>
    <n v="14"/>
    <n v="1076"/>
    <n v="15064"/>
    <x v="0"/>
    <x v="1"/>
    <s v="2026"/>
    <x v="3"/>
    <d v="2026-02-05T00:00:00"/>
    <d v="1970-12-08T00:00:00"/>
    <n v="55"/>
    <x v="1"/>
  </r>
  <r>
    <x v="312"/>
    <x v="1"/>
    <x v="1"/>
    <x v="3"/>
    <x v="14"/>
    <n v="28"/>
    <n v="46"/>
    <n v="1288"/>
    <x v="1"/>
    <x v="1"/>
    <s v="2026"/>
    <x v="1"/>
    <d v="2026-03-16T00:00:00"/>
    <d v="1997-06-13T00:00:00"/>
    <n v="28"/>
    <x v="2"/>
  </r>
  <r>
    <x v="313"/>
    <x v="2"/>
    <x v="6"/>
    <x v="0"/>
    <x v="0"/>
    <n v="21"/>
    <n v="852"/>
    <n v="17892"/>
    <x v="0"/>
    <x v="1"/>
    <s v="2026"/>
    <x v="4"/>
    <d v="2026-05-05T00:00:00"/>
    <d v="2004-07-31T00:00:00"/>
    <n v="21"/>
    <x v="2"/>
  </r>
  <r>
    <x v="314"/>
    <x v="0"/>
    <x v="6"/>
    <x v="0"/>
    <x v="9"/>
    <n v="42"/>
    <n v="436"/>
    <n v="18312"/>
    <x v="1"/>
    <x v="0"/>
    <s v="2026"/>
    <x v="10"/>
    <d v="2026-08-12T00:00:00"/>
    <d v="1990-08-13T00:00:00"/>
    <n v="35"/>
    <x v="0"/>
  </r>
  <r>
    <x v="315"/>
    <x v="1"/>
    <x v="3"/>
    <x v="1"/>
    <x v="7"/>
    <n v="6"/>
    <n v="285"/>
    <n v="1710"/>
    <x v="1"/>
    <x v="2"/>
    <s v="2026"/>
    <x v="1"/>
    <d v="2026-03-25T00:00:00"/>
    <d v="1990-11-06T00:00:00"/>
    <n v="35"/>
    <x v="0"/>
  </r>
  <r>
    <x v="316"/>
    <x v="0"/>
    <x v="4"/>
    <x v="3"/>
    <x v="17"/>
    <n v="16"/>
    <n v="19"/>
    <n v="304"/>
    <x v="0"/>
    <x v="0"/>
    <s v="2026"/>
    <x v="6"/>
    <d v="2026-11-03T00:00:00"/>
    <d v="1986-03-16T00:00:00"/>
    <n v="40"/>
    <x v="0"/>
  </r>
  <r>
    <x v="317"/>
    <x v="2"/>
    <x v="4"/>
    <x v="3"/>
    <x v="17"/>
    <n v="34"/>
    <n v="40"/>
    <n v="1360"/>
    <x v="0"/>
    <x v="1"/>
    <s v="2026"/>
    <x v="7"/>
    <d v="2026-09-07T00:00:00"/>
    <d v="1975-11-26T00:00:00"/>
    <n v="50"/>
    <x v="1"/>
  </r>
  <r>
    <x v="318"/>
    <x v="1"/>
    <x v="7"/>
    <x v="1"/>
    <x v="19"/>
    <n v="8"/>
    <n v="573"/>
    <n v="4584"/>
    <x v="1"/>
    <x v="2"/>
    <s v="2026"/>
    <x v="10"/>
    <d v="2026-08-21T00:00:00"/>
    <d v="2000-03-13T00:00:00"/>
    <n v="26"/>
    <x v="2"/>
  </r>
  <r>
    <x v="319"/>
    <x v="0"/>
    <x v="5"/>
    <x v="2"/>
    <x v="8"/>
    <n v="37"/>
    <n v="480"/>
    <n v="17760"/>
    <x v="0"/>
    <x v="1"/>
    <s v="2026"/>
    <x v="5"/>
    <d v="2026-06-18T00:00:00"/>
    <d v="1986-03-21T00:00:00"/>
    <n v="40"/>
    <x v="0"/>
  </r>
  <r>
    <x v="320"/>
    <x v="2"/>
    <x v="4"/>
    <x v="0"/>
    <x v="0"/>
    <n v="17"/>
    <n v="541"/>
    <n v="9197"/>
    <x v="1"/>
    <x v="2"/>
    <s v="2026"/>
    <x v="8"/>
    <d v="2026-01-02T00:00:00"/>
    <d v="2001-03-23T00:00:00"/>
    <n v="24"/>
    <x v="2"/>
  </r>
  <r>
    <x v="321"/>
    <x v="0"/>
    <x v="4"/>
    <x v="1"/>
    <x v="1"/>
    <n v="41"/>
    <n v="1178"/>
    <n v="48298"/>
    <x v="0"/>
    <x v="2"/>
    <s v="2026"/>
    <x v="7"/>
    <d v="2026-09-20T00:00:00"/>
    <d v="1983-04-06T00:00:00"/>
    <n v="43"/>
    <x v="0"/>
  </r>
  <r>
    <x v="322"/>
    <x v="2"/>
    <x v="0"/>
    <x v="0"/>
    <x v="9"/>
    <n v="14"/>
    <n v="418"/>
    <n v="5852"/>
    <x v="1"/>
    <x v="0"/>
    <s v="2026"/>
    <x v="7"/>
    <d v="2026-09-11T00:00:00"/>
    <d v="1973-07-17T00:00:00"/>
    <n v="53"/>
    <x v="1"/>
  </r>
  <r>
    <x v="323"/>
    <x v="1"/>
    <x v="5"/>
    <x v="1"/>
    <x v="7"/>
    <n v="4"/>
    <n v="580"/>
    <n v="2320"/>
    <x v="0"/>
    <x v="2"/>
    <s v="2026"/>
    <x v="3"/>
    <d v="2026-02-14T00:00:00"/>
    <d v="1969-03-26T00:00:00"/>
    <n v="56"/>
    <x v="1"/>
  </r>
  <r>
    <x v="324"/>
    <x v="1"/>
    <x v="6"/>
    <x v="2"/>
    <x v="10"/>
    <n v="1"/>
    <n v="774"/>
    <n v="774"/>
    <x v="1"/>
    <x v="2"/>
    <s v="2026"/>
    <x v="1"/>
    <d v="2026-03-23T00:00:00"/>
    <d v="1969-05-08T00:00:00"/>
    <n v="56"/>
    <x v="1"/>
  </r>
  <r>
    <x v="325"/>
    <x v="3"/>
    <x v="0"/>
    <x v="3"/>
    <x v="17"/>
    <n v="24"/>
    <n v="10"/>
    <n v="240"/>
    <x v="0"/>
    <x v="2"/>
    <s v="2026"/>
    <x v="11"/>
    <d v="2026-12-25T00:00:00"/>
    <d v="1994-07-24T00:00:00"/>
    <n v="32"/>
    <x v="0"/>
  </r>
  <r>
    <x v="326"/>
    <x v="1"/>
    <x v="5"/>
    <x v="1"/>
    <x v="4"/>
    <n v="34"/>
    <n v="210"/>
    <n v="7140"/>
    <x v="1"/>
    <x v="0"/>
    <s v="2026"/>
    <x v="4"/>
    <d v="2026-05-23T00:00:00"/>
    <d v="1984-05-03T00:00:00"/>
    <n v="42"/>
    <x v="0"/>
  </r>
  <r>
    <x v="327"/>
    <x v="0"/>
    <x v="4"/>
    <x v="3"/>
    <x v="14"/>
    <n v="32"/>
    <n v="38"/>
    <n v="1216"/>
    <x v="0"/>
    <x v="0"/>
    <s v="2026"/>
    <x v="1"/>
    <d v="2026-03-12T00:00:00"/>
    <d v="1980-11-22T00:00:00"/>
    <n v="45"/>
    <x v="0"/>
  </r>
  <r>
    <x v="328"/>
    <x v="1"/>
    <x v="1"/>
    <x v="0"/>
    <x v="11"/>
    <n v="48"/>
    <n v="1142"/>
    <n v="54816"/>
    <x v="0"/>
    <x v="2"/>
    <s v="2026"/>
    <x v="8"/>
    <d v="2026-01-02T00:00:00"/>
    <d v="1984-01-01T00:00:00"/>
    <n v="42"/>
    <x v="0"/>
  </r>
  <r>
    <x v="329"/>
    <x v="2"/>
    <x v="1"/>
    <x v="3"/>
    <x v="15"/>
    <n v="10"/>
    <n v="13"/>
    <n v="130"/>
    <x v="1"/>
    <x v="1"/>
    <s v="2026"/>
    <x v="8"/>
    <d v="2026-01-18T00:00:00"/>
    <d v="1983-06-11T00:00:00"/>
    <n v="42"/>
    <x v="0"/>
  </r>
  <r>
    <x v="330"/>
    <x v="1"/>
    <x v="7"/>
    <x v="1"/>
    <x v="4"/>
    <n v="18"/>
    <n v="239"/>
    <n v="4302"/>
    <x v="0"/>
    <x v="1"/>
    <s v="2026"/>
    <x v="9"/>
    <d v="2026-10-12T00:00:00"/>
    <d v="1985-12-13T00:00:00"/>
    <n v="40"/>
    <x v="0"/>
  </r>
  <r>
    <x v="331"/>
    <x v="3"/>
    <x v="2"/>
    <x v="0"/>
    <x v="13"/>
    <n v="5"/>
    <n v="1052"/>
    <n v="5260"/>
    <x v="0"/>
    <x v="0"/>
    <s v="2026"/>
    <x v="4"/>
    <d v="2026-05-25T00:00:00"/>
    <d v="2003-10-02T00:00:00"/>
    <n v="22"/>
    <x v="2"/>
  </r>
  <r>
    <x v="332"/>
    <x v="3"/>
    <x v="1"/>
    <x v="1"/>
    <x v="1"/>
    <n v="24"/>
    <n v="490"/>
    <n v="11760"/>
    <x v="1"/>
    <x v="2"/>
    <s v="2026"/>
    <x v="4"/>
    <d v="2026-05-19T00:00:00"/>
    <d v="1997-09-15T00:00:00"/>
    <n v="28"/>
    <x v="2"/>
  </r>
  <r>
    <x v="333"/>
    <x v="1"/>
    <x v="3"/>
    <x v="1"/>
    <x v="7"/>
    <n v="47"/>
    <n v="1199"/>
    <n v="56353"/>
    <x v="0"/>
    <x v="1"/>
    <s v="2026"/>
    <x v="0"/>
    <d v="2026-04-05T00:00:00"/>
    <d v="1967-06-07T00:00:00"/>
    <n v="58"/>
    <x v="1"/>
  </r>
  <r>
    <x v="334"/>
    <x v="3"/>
    <x v="0"/>
    <x v="3"/>
    <x v="14"/>
    <n v="22"/>
    <n v="2"/>
    <n v="44"/>
    <x v="0"/>
    <x v="0"/>
    <s v="2026"/>
    <x v="6"/>
    <d v="2026-11-13T00:00:00"/>
    <d v="1995-03-17T00:00:00"/>
    <n v="31"/>
    <x v="0"/>
  </r>
  <r>
    <x v="335"/>
    <x v="3"/>
    <x v="0"/>
    <x v="2"/>
    <x v="8"/>
    <n v="32"/>
    <n v="111"/>
    <n v="3552"/>
    <x v="0"/>
    <x v="1"/>
    <s v="2026"/>
    <x v="1"/>
    <d v="2026-03-23T00:00:00"/>
    <d v="1994-04-25T00:00:00"/>
    <n v="31"/>
    <x v="0"/>
  </r>
  <r>
    <x v="336"/>
    <x v="0"/>
    <x v="3"/>
    <x v="1"/>
    <x v="4"/>
    <n v="30"/>
    <n v="253"/>
    <n v="7590"/>
    <x v="0"/>
    <x v="0"/>
    <s v="2026"/>
    <x v="9"/>
    <d v="2026-10-04T00:00:00"/>
    <d v="1993-12-27T00:00:00"/>
    <n v="32"/>
    <x v="0"/>
  </r>
  <r>
    <x v="337"/>
    <x v="3"/>
    <x v="2"/>
    <x v="0"/>
    <x v="13"/>
    <n v="43"/>
    <n v="367"/>
    <n v="15781"/>
    <x v="1"/>
    <x v="0"/>
    <s v="2026"/>
    <x v="0"/>
    <d v="2026-04-10T00:00:00"/>
    <d v="1969-06-01T00:00:00"/>
    <n v="56"/>
    <x v="1"/>
  </r>
  <r>
    <x v="338"/>
    <x v="0"/>
    <x v="6"/>
    <x v="3"/>
    <x v="16"/>
    <n v="29"/>
    <n v="19"/>
    <n v="551"/>
    <x v="0"/>
    <x v="1"/>
    <s v="2026"/>
    <x v="0"/>
    <d v="2026-04-03T00:00:00"/>
    <d v="1967-09-21T00:00:00"/>
    <n v="58"/>
    <x v="1"/>
  </r>
  <r>
    <x v="339"/>
    <x v="1"/>
    <x v="2"/>
    <x v="0"/>
    <x v="11"/>
    <n v="29"/>
    <n v="1054"/>
    <n v="30566"/>
    <x v="0"/>
    <x v="2"/>
    <s v="2026"/>
    <x v="5"/>
    <d v="2026-06-14T00:00:00"/>
    <d v="1983-01-23T00:00:00"/>
    <n v="43"/>
    <x v="0"/>
  </r>
  <r>
    <x v="340"/>
    <x v="3"/>
    <x v="7"/>
    <x v="3"/>
    <x v="15"/>
    <n v="17"/>
    <n v="9"/>
    <n v="153"/>
    <x v="0"/>
    <x v="2"/>
    <s v="2026"/>
    <x v="3"/>
    <d v="2026-02-06T00:00:00"/>
    <d v="1997-09-01T00:00:00"/>
    <n v="28"/>
    <x v="2"/>
  </r>
  <r>
    <x v="341"/>
    <x v="1"/>
    <x v="4"/>
    <x v="2"/>
    <x v="10"/>
    <n v="46"/>
    <n v="304"/>
    <n v="13984"/>
    <x v="1"/>
    <x v="1"/>
    <s v="2026"/>
    <x v="5"/>
    <d v="2026-06-13T00:00:00"/>
    <d v="1980-03-22T00:00:00"/>
    <n v="46"/>
    <x v="1"/>
  </r>
  <r>
    <x v="342"/>
    <x v="1"/>
    <x v="6"/>
    <x v="0"/>
    <x v="13"/>
    <n v="29"/>
    <n v="611"/>
    <n v="17719"/>
    <x v="0"/>
    <x v="1"/>
    <s v="2026"/>
    <x v="3"/>
    <d v="2026-02-15T00:00:00"/>
    <d v="2000-11-29T00:00:00"/>
    <n v="25"/>
    <x v="2"/>
  </r>
  <r>
    <x v="343"/>
    <x v="1"/>
    <x v="4"/>
    <x v="0"/>
    <x v="11"/>
    <n v="9"/>
    <n v="505"/>
    <n v="4545"/>
    <x v="0"/>
    <x v="1"/>
    <s v="2026"/>
    <x v="2"/>
    <d v="2026-07-12T00:00:00"/>
    <d v="2003-08-27T00:00:00"/>
    <n v="22"/>
    <x v="2"/>
  </r>
  <r>
    <x v="344"/>
    <x v="3"/>
    <x v="0"/>
    <x v="0"/>
    <x v="11"/>
    <n v="42"/>
    <n v="1008"/>
    <n v="42336"/>
    <x v="0"/>
    <x v="2"/>
    <s v="2026"/>
    <x v="1"/>
    <d v="2026-03-03T00:00:00"/>
    <d v="1969-11-26T00:00:00"/>
    <n v="56"/>
    <x v="1"/>
  </r>
  <r>
    <x v="345"/>
    <x v="2"/>
    <x v="7"/>
    <x v="0"/>
    <x v="11"/>
    <n v="37"/>
    <n v="987"/>
    <n v="36519"/>
    <x v="1"/>
    <x v="0"/>
    <s v="2026"/>
    <x v="11"/>
    <d v="2026-12-13T00:00:00"/>
    <d v="1976-02-26T00:00:00"/>
    <n v="50"/>
    <x v="1"/>
  </r>
  <r>
    <x v="346"/>
    <x v="3"/>
    <x v="5"/>
    <x v="1"/>
    <x v="7"/>
    <n v="23"/>
    <n v="519"/>
    <n v="11937"/>
    <x v="0"/>
    <x v="1"/>
    <s v="2026"/>
    <x v="1"/>
    <d v="2026-03-09T00:00:00"/>
    <d v="1973-08-06T00:00:00"/>
    <n v="52"/>
    <x v="1"/>
  </r>
  <r>
    <x v="347"/>
    <x v="1"/>
    <x v="0"/>
    <x v="2"/>
    <x v="3"/>
    <n v="32"/>
    <n v="471"/>
    <n v="15072"/>
    <x v="1"/>
    <x v="2"/>
    <s v="2026"/>
    <x v="7"/>
    <d v="2026-09-16T00:00:00"/>
    <d v="1973-07-14T00:00:00"/>
    <n v="53"/>
    <x v="1"/>
  </r>
  <r>
    <x v="348"/>
    <x v="1"/>
    <x v="3"/>
    <x v="2"/>
    <x v="8"/>
    <n v="13"/>
    <n v="708"/>
    <n v="9204"/>
    <x v="1"/>
    <x v="2"/>
    <s v="2026"/>
    <x v="7"/>
    <d v="2026-09-08T00:00:00"/>
    <d v="1989-01-21T00:00:00"/>
    <n v="37"/>
    <x v="0"/>
  </r>
  <r>
    <x v="349"/>
    <x v="3"/>
    <x v="6"/>
    <x v="1"/>
    <x v="4"/>
    <n v="37"/>
    <n v="1108"/>
    <n v="40996"/>
    <x v="0"/>
    <x v="2"/>
    <s v="2026"/>
    <x v="5"/>
    <d v="2026-06-13T00:00:00"/>
    <d v="1985-02-15T00:00:00"/>
    <n v="41"/>
    <x v="0"/>
  </r>
  <r>
    <x v="350"/>
    <x v="2"/>
    <x v="2"/>
    <x v="2"/>
    <x v="10"/>
    <n v="50"/>
    <n v="337"/>
    <n v="16850"/>
    <x v="0"/>
    <x v="1"/>
    <s v="2026"/>
    <x v="8"/>
    <d v="2026-01-26T00:00:00"/>
    <d v="1971-04-16T00:00:00"/>
    <n v="54"/>
    <x v="1"/>
  </r>
  <r>
    <x v="351"/>
    <x v="1"/>
    <x v="1"/>
    <x v="0"/>
    <x v="11"/>
    <n v="43"/>
    <n v="593"/>
    <n v="25499"/>
    <x v="1"/>
    <x v="2"/>
    <s v="2026"/>
    <x v="4"/>
    <d v="2026-05-18T00:00:00"/>
    <d v="1983-12-05T00:00:00"/>
    <n v="42"/>
    <x v="0"/>
  </r>
  <r>
    <x v="352"/>
    <x v="3"/>
    <x v="7"/>
    <x v="2"/>
    <x v="5"/>
    <n v="16"/>
    <n v="656"/>
    <n v="10496"/>
    <x v="1"/>
    <x v="0"/>
    <s v="2026"/>
    <x v="5"/>
    <d v="2026-06-26T00:00:00"/>
    <d v="1973-03-26T00:00:00"/>
    <n v="53"/>
    <x v="1"/>
  </r>
  <r>
    <x v="353"/>
    <x v="0"/>
    <x v="5"/>
    <x v="2"/>
    <x v="12"/>
    <n v="13"/>
    <n v="554"/>
    <n v="7202"/>
    <x v="0"/>
    <x v="1"/>
    <s v="2026"/>
    <x v="7"/>
    <d v="2026-09-10T00:00:00"/>
    <d v="1977-06-30T00:00:00"/>
    <n v="49"/>
    <x v="1"/>
  </r>
  <r>
    <x v="354"/>
    <x v="2"/>
    <x v="7"/>
    <x v="0"/>
    <x v="11"/>
    <n v="39"/>
    <n v="548"/>
    <n v="21372"/>
    <x v="1"/>
    <x v="0"/>
    <s v="2026"/>
    <x v="8"/>
    <d v="2026-01-17T00:00:00"/>
    <d v="1985-10-02T00:00:00"/>
    <n v="40"/>
    <x v="0"/>
  </r>
  <r>
    <x v="355"/>
    <x v="3"/>
    <x v="7"/>
    <x v="2"/>
    <x v="5"/>
    <n v="22"/>
    <n v="784"/>
    <n v="17248"/>
    <x v="0"/>
    <x v="1"/>
    <s v="2026"/>
    <x v="1"/>
    <d v="2026-03-26T00:00:00"/>
    <d v="1976-03-16T00:00:00"/>
    <n v="50"/>
    <x v="1"/>
  </r>
  <r>
    <x v="356"/>
    <x v="2"/>
    <x v="0"/>
    <x v="2"/>
    <x v="10"/>
    <n v="34"/>
    <n v="423"/>
    <n v="14382"/>
    <x v="1"/>
    <x v="2"/>
    <s v="2026"/>
    <x v="3"/>
    <d v="2026-02-12T00:00:00"/>
    <d v="2004-03-24T00:00:00"/>
    <n v="21"/>
    <x v="2"/>
  </r>
  <r>
    <x v="357"/>
    <x v="2"/>
    <x v="2"/>
    <x v="3"/>
    <x v="17"/>
    <n v="11"/>
    <n v="48"/>
    <n v="528"/>
    <x v="0"/>
    <x v="0"/>
    <s v="2026"/>
    <x v="2"/>
    <d v="2026-07-26T00:00:00"/>
    <d v="1968-05-20T00:00:00"/>
    <n v="58"/>
    <x v="1"/>
  </r>
  <r>
    <x v="358"/>
    <x v="3"/>
    <x v="4"/>
    <x v="3"/>
    <x v="17"/>
    <n v="43"/>
    <n v="39"/>
    <n v="1677"/>
    <x v="0"/>
    <x v="1"/>
    <s v="2026"/>
    <x v="1"/>
    <d v="2026-03-13T00:00:00"/>
    <d v="1984-11-17T00:00:00"/>
    <n v="41"/>
    <x v="0"/>
  </r>
  <r>
    <x v="359"/>
    <x v="3"/>
    <x v="1"/>
    <x v="0"/>
    <x v="9"/>
    <n v="26"/>
    <n v="166"/>
    <n v="4316"/>
    <x v="0"/>
    <x v="2"/>
    <s v="2026"/>
    <x v="1"/>
    <d v="2026-03-20T00:00:00"/>
    <d v="2001-03-31T00:00:00"/>
    <n v="24"/>
    <x v="2"/>
  </r>
  <r>
    <x v="360"/>
    <x v="3"/>
    <x v="6"/>
    <x v="2"/>
    <x v="3"/>
    <n v="48"/>
    <n v="129"/>
    <n v="6192"/>
    <x v="0"/>
    <x v="0"/>
    <s v="2026"/>
    <x v="0"/>
    <d v="2026-04-12T00:00:00"/>
    <d v="2003-08-22T00:00:00"/>
    <n v="22"/>
    <x v="2"/>
  </r>
  <r>
    <x v="361"/>
    <x v="1"/>
    <x v="2"/>
    <x v="3"/>
    <x v="15"/>
    <n v="1"/>
    <n v="18"/>
    <n v="18"/>
    <x v="1"/>
    <x v="1"/>
    <s v="2026"/>
    <x v="0"/>
    <d v="2026-04-08T00:00:00"/>
    <d v="2003-05-26T00:00:00"/>
    <n v="22"/>
    <x v="2"/>
  </r>
  <r>
    <x v="362"/>
    <x v="0"/>
    <x v="3"/>
    <x v="0"/>
    <x v="0"/>
    <n v="25"/>
    <n v="997"/>
    <n v="24925"/>
    <x v="1"/>
    <x v="2"/>
    <s v="2026"/>
    <x v="11"/>
    <d v="2026-12-14T00:00:00"/>
    <d v="1989-09-08T00:00:00"/>
    <n v="37"/>
    <x v="0"/>
  </r>
  <r>
    <x v="363"/>
    <x v="0"/>
    <x v="6"/>
    <x v="3"/>
    <x v="18"/>
    <n v="25"/>
    <n v="8"/>
    <n v="200"/>
    <x v="1"/>
    <x v="1"/>
    <s v="2026"/>
    <x v="10"/>
    <d v="2026-08-26T00:00:00"/>
    <d v="1969-05-24T00:00:00"/>
    <n v="57"/>
    <x v="1"/>
  </r>
  <r>
    <x v="364"/>
    <x v="1"/>
    <x v="2"/>
    <x v="0"/>
    <x v="6"/>
    <n v="2"/>
    <n v="752"/>
    <n v="1504"/>
    <x v="0"/>
    <x v="2"/>
    <s v="2026"/>
    <x v="4"/>
    <d v="2026-05-04T00:00:00"/>
    <d v="1967-04-09T00:00:00"/>
    <n v="59"/>
    <x v="1"/>
  </r>
  <r>
    <x v="365"/>
    <x v="2"/>
    <x v="7"/>
    <x v="2"/>
    <x v="10"/>
    <n v="36"/>
    <n v="145"/>
    <n v="5220"/>
    <x v="1"/>
    <x v="0"/>
    <s v="2026"/>
    <x v="5"/>
    <d v="2026-06-20T00:00:00"/>
    <d v="1994-04-03T00:00:00"/>
    <n v="32"/>
    <x v="0"/>
  </r>
  <r>
    <x v="366"/>
    <x v="3"/>
    <x v="1"/>
    <x v="2"/>
    <x v="12"/>
    <n v="28"/>
    <n v="210"/>
    <n v="5880"/>
    <x v="0"/>
    <x v="2"/>
    <s v="2026"/>
    <x v="8"/>
    <d v="2026-01-04T00:00:00"/>
    <d v="1989-04-01T00:00:00"/>
    <n v="36"/>
    <x v="0"/>
  </r>
  <r>
    <x v="367"/>
    <x v="2"/>
    <x v="5"/>
    <x v="3"/>
    <x v="16"/>
    <n v="20"/>
    <n v="17"/>
    <n v="340"/>
    <x v="0"/>
    <x v="1"/>
    <s v="2026"/>
    <x v="3"/>
    <d v="2026-02-02T00:00:00"/>
    <d v="2002-07-03T00:00:00"/>
    <n v="23"/>
    <x v="2"/>
  </r>
  <r>
    <x v="368"/>
    <x v="2"/>
    <x v="1"/>
    <x v="3"/>
    <x v="14"/>
    <n v="28"/>
    <n v="7"/>
    <n v="196"/>
    <x v="0"/>
    <x v="1"/>
    <s v="2026"/>
    <x v="4"/>
    <d v="2026-05-27T00:00:00"/>
    <d v="1965-08-30T00:00:00"/>
    <n v="60"/>
    <x v="1"/>
  </r>
  <r>
    <x v="369"/>
    <x v="1"/>
    <x v="4"/>
    <x v="2"/>
    <x v="5"/>
    <n v="41"/>
    <n v="348"/>
    <n v="14268"/>
    <x v="1"/>
    <x v="2"/>
    <s v="2026"/>
    <x v="3"/>
    <d v="2026-02-16T00:00:00"/>
    <d v="1969-03-09T00:00:00"/>
    <n v="56"/>
    <x v="1"/>
  </r>
  <r>
    <x v="370"/>
    <x v="0"/>
    <x v="2"/>
    <x v="1"/>
    <x v="4"/>
    <n v="6"/>
    <n v="1394"/>
    <n v="8364"/>
    <x v="1"/>
    <x v="2"/>
    <s v="2026"/>
    <x v="7"/>
    <d v="2026-09-13T00:00:00"/>
    <d v="1998-10-21T00:00:00"/>
    <n v="27"/>
    <x v="2"/>
  </r>
  <r>
    <x v="371"/>
    <x v="3"/>
    <x v="1"/>
    <x v="2"/>
    <x v="8"/>
    <n v="3"/>
    <n v="319"/>
    <n v="957"/>
    <x v="1"/>
    <x v="0"/>
    <s v="2026"/>
    <x v="10"/>
    <d v="2026-08-15T00:00:00"/>
    <d v="2003-01-27T00:00:00"/>
    <n v="23"/>
    <x v="2"/>
  </r>
  <r>
    <x v="372"/>
    <x v="3"/>
    <x v="3"/>
    <x v="0"/>
    <x v="11"/>
    <n v="49"/>
    <n v="298"/>
    <n v="14602"/>
    <x v="0"/>
    <x v="0"/>
    <s v="2026"/>
    <x v="3"/>
    <d v="2026-02-22T00:00:00"/>
    <d v="1975-08-09T00:00:00"/>
    <n v="50"/>
    <x v="1"/>
  </r>
  <r>
    <x v="373"/>
    <x v="2"/>
    <x v="1"/>
    <x v="0"/>
    <x v="13"/>
    <n v="34"/>
    <n v="957"/>
    <n v="32538"/>
    <x v="1"/>
    <x v="2"/>
    <s v="2026"/>
    <x v="7"/>
    <d v="2026-09-22T00:00:00"/>
    <d v="1972-06-17T00:00:00"/>
    <n v="54"/>
    <x v="1"/>
  </r>
  <r>
    <x v="374"/>
    <x v="0"/>
    <x v="0"/>
    <x v="0"/>
    <x v="13"/>
    <n v="46"/>
    <n v="171"/>
    <n v="7866"/>
    <x v="1"/>
    <x v="1"/>
    <s v="2026"/>
    <x v="7"/>
    <d v="2026-09-19T00:00:00"/>
    <d v="1983-03-26T00:00:00"/>
    <n v="43"/>
    <x v="0"/>
  </r>
  <r>
    <x v="375"/>
    <x v="1"/>
    <x v="3"/>
    <x v="2"/>
    <x v="5"/>
    <n v="13"/>
    <n v="179"/>
    <n v="2327"/>
    <x v="0"/>
    <x v="0"/>
    <s v="2026"/>
    <x v="8"/>
    <d v="2026-01-14T00:00:00"/>
    <d v="1986-10-14T00:00:00"/>
    <n v="39"/>
    <x v="0"/>
  </r>
  <r>
    <x v="376"/>
    <x v="1"/>
    <x v="0"/>
    <x v="2"/>
    <x v="12"/>
    <n v="17"/>
    <n v="377"/>
    <n v="6409"/>
    <x v="1"/>
    <x v="0"/>
    <s v="2026"/>
    <x v="11"/>
    <d v="2026-12-26T00:00:00"/>
    <d v="1986-08-05T00:00:00"/>
    <n v="40"/>
    <x v="0"/>
  </r>
  <r>
    <x v="377"/>
    <x v="1"/>
    <x v="3"/>
    <x v="1"/>
    <x v="2"/>
    <n v="21"/>
    <n v="645"/>
    <n v="13545"/>
    <x v="0"/>
    <x v="2"/>
    <s v="2026"/>
    <x v="7"/>
    <d v="2026-09-15T00:00:00"/>
    <d v="1974-08-04T00:00:00"/>
    <n v="52"/>
    <x v="1"/>
  </r>
  <r>
    <x v="378"/>
    <x v="1"/>
    <x v="0"/>
    <x v="2"/>
    <x v="5"/>
    <n v="37"/>
    <n v="652"/>
    <n v="24124"/>
    <x v="0"/>
    <x v="2"/>
    <s v="2026"/>
    <x v="9"/>
    <d v="2026-10-25T00:00:00"/>
    <d v="2003-10-15T00:00:00"/>
    <n v="23"/>
    <x v="2"/>
  </r>
  <r>
    <x v="379"/>
    <x v="2"/>
    <x v="7"/>
    <x v="3"/>
    <x v="15"/>
    <n v="17"/>
    <n v="26"/>
    <n v="442"/>
    <x v="0"/>
    <x v="2"/>
    <s v="2026"/>
    <x v="6"/>
    <d v="2026-11-16T00:00:00"/>
    <d v="1982-12-28T00:00:00"/>
    <n v="43"/>
    <x v="0"/>
  </r>
  <r>
    <x v="380"/>
    <x v="2"/>
    <x v="7"/>
    <x v="1"/>
    <x v="7"/>
    <n v="40"/>
    <n v="1326"/>
    <n v="53040"/>
    <x v="1"/>
    <x v="2"/>
    <s v="2026"/>
    <x v="6"/>
    <d v="2026-11-23T00:00:00"/>
    <d v="2005-06-25T00:00:00"/>
    <n v="21"/>
    <x v="2"/>
  </r>
  <r>
    <x v="381"/>
    <x v="1"/>
    <x v="2"/>
    <x v="2"/>
    <x v="10"/>
    <n v="48"/>
    <n v="536"/>
    <n v="25728"/>
    <x v="1"/>
    <x v="2"/>
    <s v="2026"/>
    <x v="4"/>
    <d v="2026-05-12T00:00:00"/>
    <d v="1967-08-19T00:00:00"/>
    <n v="58"/>
    <x v="1"/>
  </r>
  <r>
    <x v="382"/>
    <x v="0"/>
    <x v="6"/>
    <x v="3"/>
    <x v="15"/>
    <n v="45"/>
    <n v="45"/>
    <n v="2025"/>
    <x v="1"/>
    <x v="0"/>
    <s v="2026"/>
    <x v="3"/>
    <d v="2026-02-28T00:00:00"/>
    <d v="1972-05-21T00:00:00"/>
    <n v="53"/>
    <x v="1"/>
  </r>
  <r>
    <x v="383"/>
    <x v="1"/>
    <x v="1"/>
    <x v="1"/>
    <x v="4"/>
    <n v="18"/>
    <n v="933"/>
    <n v="16794"/>
    <x v="1"/>
    <x v="1"/>
    <s v="2026"/>
    <x v="9"/>
    <d v="2026-10-21T00:00:00"/>
    <d v="1982-01-01T00:00:00"/>
    <n v="44"/>
    <x v="0"/>
  </r>
  <r>
    <x v="384"/>
    <x v="1"/>
    <x v="6"/>
    <x v="1"/>
    <x v="19"/>
    <n v="49"/>
    <n v="1137"/>
    <n v="55713"/>
    <x v="0"/>
    <x v="2"/>
    <s v="2026"/>
    <x v="5"/>
    <d v="2026-06-27T00:00:00"/>
    <d v="1965-02-05T00:00:00"/>
    <n v="61"/>
    <x v="3"/>
  </r>
  <r>
    <x v="385"/>
    <x v="0"/>
    <x v="1"/>
    <x v="1"/>
    <x v="7"/>
    <n v="50"/>
    <n v="1153"/>
    <n v="57650"/>
    <x v="0"/>
    <x v="1"/>
    <s v="2026"/>
    <x v="9"/>
    <d v="2026-10-01T00:00:00"/>
    <d v="1982-07-07T00:00:00"/>
    <n v="44"/>
    <x v="0"/>
  </r>
  <r>
    <x v="386"/>
    <x v="0"/>
    <x v="4"/>
    <x v="2"/>
    <x v="10"/>
    <n v="30"/>
    <n v="101"/>
    <n v="3030"/>
    <x v="1"/>
    <x v="2"/>
    <s v="2026"/>
    <x v="5"/>
    <d v="2026-06-23T00:00:00"/>
    <d v="1976-11-24T00:00:00"/>
    <n v="49"/>
    <x v="1"/>
  </r>
  <r>
    <x v="387"/>
    <x v="2"/>
    <x v="5"/>
    <x v="1"/>
    <x v="1"/>
    <n v="44"/>
    <n v="142"/>
    <n v="6248"/>
    <x v="0"/>
    <x v="2"/>
    <s v="2026"/>
    <x v="0"/>
    <d v="2026-04-12T00:00:00"/>
    <d v="2000-03-04T00:00:00"/>
    <n v="26"/>
    <x v="2"/>
  </r>
  <r>
    <x v="388"/>
    <x v="1"/>
    <x v="4"/>
    <x v="3"/>
    <x v="16"/>
    <n v="11"/>
    <n v="18"/>
    <n v="198"/>
    <x v="0"/>
    <x v="2"/>
    <s v="2026"/>
    <x v="11"/>
    <d v="2026-12-27T00:00:00"/>
    <d v="2000-03-21T00:00:00"/>
    <n v="26"/>
    <x v="2"/>
  </r>
  <r>
    <x v="389"/>
    <x v="0"/>
    <x v="1"/>
    <x v="0"/>
    <x v="11"/>
    <n v="37"/>
    <n v="538"/>
    <n v="19906"/>
    <x v="1"/>
    <x v="0"/>
    <s v="2026"/>
    <x v="0"/>
    <d v="2026-04-21T00:00:00"/>
    <d v="1985-05-30T00:00:00"/>
    <n v="40"/>
    <x v="0"/>
  </r>
  <r>
    <x v="390"/>
    <x v="0"/>
    <x v="6"/>
    <x v="1"/>
    <x v="2"/>
    <n v="2"/>
    <n v="1477"/>
    <n v="2954"/>
    <x v="0"/>
    <x v="1"/>
    <s v="2026"/>
    <x v="8"/>
    <d v="2026-01-16T00:00:00"/>
    <d v="1977-10-18T00:00:00"/>
    <n v="48"/>
    <x v="1"/>
  </r>
  <r>
    <x v="391"/>
    <x v="3"/>
    <x v="3"/>
    <x v="3"/>
    <x v="18"/>
    <n v="20"/>
    <n v="47"/>
    <n v="940"/>
    <x v="1"/>
    <x v="2"/>
    <s v="2026"/>
    <x v="11"/>
    <d v="2026-12-21T00:00:00"/>
    <d v="1983-12-23T00:00:00"/>
    <n v="42"/>
    <x v="0"/>
  </r>
  <r>
    <x v="392"/>
    <x v="2"/>
    <x v="0"/>
    <x v="1"/>
    <x v="4"/>
    <n v="14"/>
    <n v="1035"/>
    <n v="14490"/>
    <x v="0"/>
    <x v="0"/>
    <s v="2026"/>
    <x v="4"/>
    <d v="2026-05-22T00:00:00"/>
    <d v="1996-03-31T00:00:00"/>
    <n v="30"/>
    <x v="2"/>
  </r>
  <r>
    <x v="393"/>
    <x v="3"/>
    <x v="0"/>
    <x v="3"/>
    <x v="18"/>
    <n v="42"/>
    <n v="40"/>
    <n v="1680"/>
    <x v="1"/>
    <x v="1"/>
    <s v="2026"/>
    <x v="9"/>
    <d v="2026-10-10T00:00:00"/>
    <d v="1997-10-08T00:00:00"/>
    <n v="29"/>
    <x v="2"/>
  </r>
  <r>
    <x v="394"/>
    <x v="3"/>
    <x v="1"/>
    <x v="3"/>
    <x v="16"/>
    <n v="41"/>
    <n v="22"/>
    <n v="902"/>
    <x v="0"/>
    <x v="0"/>
    <s v="2026"/>
    <x v="4"/>
    <d v="2026-05-09T00:00:00"/>
    <d v="2000-02-21T00:00:00"/>
    <n v="26"/>
    <x v="2"/>
  </r>
  <r>
    <x v="395"/>
    <x v="0"/>
    <x v="7"/>
    <x v="2"/>
    <x v="10"/>
    <n v="39"/>
    <n v="463"/>
    <n v="18057"/>
    <x v="1"/>
    <x v="2"/>
    <s v="2026"/>
    <x v="6"/>
    <d v="2026-11-11T00:00:00"/>
    <d v="1989-12-06T00:00:00"/>
    <n v="36"/>
    <x v="0"/>
  </r>
  <r>
    <x v="396"/>
    <x v="0"/>
    <x v="2"/>
    <x v="3"/>
    <x v="15"/>
    <n v="26"/>
    <n v="26"/>
    <n v="676"/>
    <x v="0"/>
    <x v="0"/>
    <s v="2026"/>
    <x v="11"/>
    <d v="2026-12-02T00:00:00"/>
    <d v="1994-09-10T00:00:00"/>
    <n v="32"/>
    <x v="0"/>
  </r>
  <r>
    <x v="397"/>
    <x v="0"/>
    <x v="4"/>
    <x v="1"/>
    <x v="4"/>
    <n v="33"/>
    <n v="694"/>
    <n v="22902"/>
    <x v="0"/>
    <x v="2"/>
    <s v="2026"/>
    <x v="1"/>
    <d v="2026-03-27T00:00:00"/>
    <d v="1997-03-24T00:00:00"/>
    <n v="29"/>
    <x v="2"/>
  </r>
  <r>
    <x v="398"/>
    <x v="3"/>
    <x v="0"/>
    <x v="2"/>
    <x v="3"/>
    <n v="47"/>
    <n v="622"/>
    <n v="29234"/>
    <x v="0"/>
    <x v="2"/>
    <s v="2026"/>
    <x v="1"/>
    <d v="2026-03-22T00:00:00"/>
    <d v="1986-10-31T00:00:00"/>
    <n v="39"/>
    <x v="0"/>
  </r>
  <r>
    <x v="399"/>
    <x v="3"/>
    <x v="5"/>
    <x v="2"/>
    <x v="3"/>
    <n v="27"/>
    <n v="389"/>
    <n v="10503"/>
    <x v="0"/>
    <x v="2"/>
    <s v="2026"/>
    <x v="5"/>
    <d v="2026-06-09T00:00:00"/>
    <d v="1971-12-12T00:00:00"/>
    <n v="54"/>
    <x v="1"/>
  </r>
  <r>
    <x v="400"/>
    <x v="1"/>
    <x v="3"/>
    <x v="0"/>
    <x v="9"/>
    <n v="38"/>
    <n v="245"/>
    <n v="9310"/>
    <x v="1"/>
    <x v="2"/>
    <s v="2026"/>
    <x v="10"/>
    <d v="2026-08-07T00:00:00"/>
    <d v="1973-07-09T00:00:00"/>
    <n v="53"/>
    <x v="1"/>
  </r>
  <r>
    <x v="401"/>
    <x v="2"/>
    <x v="6"/>
    <x v="0"/>
    <x v="11"/>
    <n v="9"/>
    <n v="510"/>
    <n v="4590"/>
    <x v="1"/>
    <x v="0"/>
    <s v="2026"/>
    <x v="5"/>
    <d v="2026-06-14T00:00:00"/>
    <d v="1978-04-24T00:00:00"/>
    <n v="48"/>
    <x v="1"/>
  </r>
  <r>
    <x v="402"/>
    <x v="3"/>
    <x v="7"/>
    <x v="2"/>
    <x v="10"/>
    <n v="32"/>
    <n v="390"/>
    <n v="12480"/>
    <x v="0"/>
    <x v="2"/>
    <s v="2026"/>
    <x v="6"/>
    <d v="2026-11-06T00:00:00"/>
    <d v="1974-10-07T00:00:00"/>
    <n v="52"/>
    <x v="1"/>
  </r>
  <r>
    <x v="403"/>
    <x v="0"/>
    <x v="5"/>
    <x v="3"/>
    <x v="17"/>
    <n v="49"/>
    <n v="12"/>
    <n v="588"/>
    <x v="0"/>
    <x v="1"/>
    <s v="2026"/>
    <x v="9"/>
    <d v="2026-10-25T00:00:00"/>
    <d v="1967-08-17T00:00:00"/>
    <n v="59"/>
    <x v="1"/>
  </r>
  <r>
    <x v="404"/>
    <x v="1"/>
    <x v="7"/>
    <x v="1"/>
    <x v="19"/>
    <n v="26"/>
    <n v="958"/>
    <n v="24908"/>
    <x v="0"/>
    <x v="0"/>
    <s v="2026"/>
    <x v="10"/>
    <d v="2026-08-13T00:00:00"/>
    <d v="1990-12-25T00:00:00"/>
    <n v="35"/>
    <x v="0"/>
  </r>
  <r>
    <x v="405"/>
    <x v="1"/>
    <x v="7"/>
    <x v="3"/>
    <x v="14"/>
    <n v="21"/>
    <n v="50"/>
    <n v="1050"/>
    <x v="0"/>
    <x v="1"/>
    <s v="2026"/>
    <x v="7"/>
    <d v="2026-09-07T00:00:00"/>
    <d v="1998-01-02T00:00:00"/>
    <n v="28"/>
    <x v="2"/>
  </r>
  <r>
    <x v="406"/>
    <x v="3"/>
    <x v="6"/>
    <x v="3"/>
    <x v="16"/>
    <n v="9"/>
    <n v="8"/>
    <n v="72"/>
    <x v="0"/>
    <x v="1"/>
    <s v="2026"/>
    <x v="2"/>
    <d v="2026-07-17T00:00:00"/>
    <d v="1989-04-28T00:00:00"/>
    <n v="37"/>
    <x v="0"/>
  </r>
  <r>
    <x v="407"/>
    <x v="3"/>
    <x v="3"/>
    <x v="3"/>
    <x v="16"/>
    <n v="30"/>
    <n v="48"/>
    <n v="1440"/>
    <x v="0"/>
    <x v="2"/>
    <s v="2026"/>
    <x v="7"/>
    <d v="2026-09-20T00:00:00"/>
    <d v="1967-09-26T00:00:00"/>
    <n v="58"/>
    <x v="1"/>
  </r>
  <r>
    <x v="408"/>
    <x v="2"/>
    <x v="7"/>
    <x v="1"/>
    <x v="4"/>
    <n v="49"/>
    <n v="465"/>
    <n v="22785"/>
    <x v="0"/>
    <x v="1"/>
    <s v="2026"/>
    <x v="1"/>
    <d v="2026-03-26T00:00:00"/>
    <d v="1998-07-21T00:00:00"/>
    <n v="27"/>
    <x v="2"/>
  </r>
  <r>
    <x v="409"/>
    <x v="0"/>
    <x v="0"/>
    <x v="2"/>
    <x v="5"/>
    <n v="47"/>
    <n v="72"/>
    <n v="3384"/>
    <x v="1"/>
    <x v="0"/>
    <s v="2026"/>
    <x v="9"/>
    <d v="2026-10-17T00:00:00"/>
    <d v="1979-01-26T00:00:00"/>
    <n v="47"/>
    <x v="1"/>
  </r>
  <r>
    <x v="410"/>
    <x v="1"/>
    <x v="7"/>
    <x v="0"/>
    <x v="13"/>
    <n v="41"/>
    <n v="623"/>
    <n v="25543"/>
    <x v="0"/>
    <x v="0"/>
    <s v="2026"/>
    <x v="7"/>
    <d v="2026-09-20T00:00:00"/>
    <d v="1967-07-26T00:00:00"/>
    <n v="59"/>
    <x v="1"/>
  </r>
  <r>
    <x v="411"/>
    <x v="2"/>
    <x v="0"/>
    <x v="0"/>
    <x v="0"/>
    <n v="45"/>
    <n v="337"/>
    <n v="15165"/>
    <x v="1"/>
    <x v="2"/>
    <s v="2026"/>
    <x v="2"/>
    <d v="2026-07-15T00:00:00"/>
    <d v="1967-04-02T00:00:00"/>
    <n v="59"/>
    <x v="1"/>
  </r>
  <r>
    <x v="412"/>
    <x v="3"/>
    <x v="3"/>
    <x v="2"/>
    <x v="5"/>
    <n v="45"/>
    <n v="752"/>
    <n v="33840"/>
    <x v="0"/>
    <x v="0"/>
    <s v="2026"/>
    <x v="6"/>
    <d v="2026-11-01T00:00:00"/>
    <d v="1991-03-17T00:00:00"/>
    <n v="35"/>
    <x v="0"/>
  </r>
  <r>
    <x v="413"/>
    <x v="1"/>
    <x v="0"/>
    <x v="3"/>
    <x v="18"/>
    <n v="39"/>
    <n v="46"/>
    <n v="1794"/>
    <x v="1"/>
    <x v="1"/>
    <s v="2026"/>
    <x v="1"/>
    <d v="2026-03-14T00:00:00"/>
    <d v="1986-05-22T00:00:00"/>
    <n v="39"/>
    <x v="0"/>
  </r>
  <r>
    <x v="414"/>
    <x v="0"/>
    <x v="2"/>
    <x v="0"/>
    <x v="13"/>
    <n v="13"/>
    <n v="509"/>
    <n v="6617"/>
    <x v="1"/>
    <x v="2"/>
    <s v="2026"/>
    <x v="4"/>
    <d v="2026-05-27T00:00:00"/>
    <d v="1987-07-23T00:00:00"/>
    <n v="38"/>
    <x v="0"/>
  </r>
  <r>
    <x v="415"/>
    <x v="2"/>
    <x v="2"/>
    <x v="2"/>
    <x v="10"/>
    <n v="36"/>
    <n v="558"/>
    <n v="20088"/>
    <x v="0"/>
    <x v="1"/>
    <s v="2026"/>
    <x v="0"/>
    <d v="2026-04-23T00:00:00"/>
    <d v="2003-04-02T00:00:00"/>
    <n v="23"/>
    <x v="2"/>
  </r>
  <r>
    <x v="416"/>
    <x v="1"/>
    <x v="0"/>
    <x v="0"/>
    <x v="0"/>
    <n v="8"/>
    <n v="1111"/>
    <n v="8888"/>
    <x v="1"/>
    <x v="0"/>
    <s v="2026"/>
    <x v="1"/>
    <d v="2026-03-03T00:00:00"/>
    <d v="1988-10-28T00:00:00"/>
    <n v="37"/>
    <x v="0"/>
  </r>
  <r>
    <x v="417"/>
    <x v="1"/>
    <x v="6"/>
    <x v="2"/>
    <x v="8"/>
    <n v="19"/>
    <n v="320"/>
    <n v="6080"/>
    <x v="0"/>
    <x v="2"/>
    <s v="2026"/>
    <x v="10"/>
    <d v="2026-08-02T00:00:00"/>
    <d v="1972-01-24T00:00:00"/>
    <n v="54"/>
    <x v="1"/>
  </r>
  <r>
    <x v="418"/>
    <x v="1"/>
    <x v="7"/>
    <x v="3"/>
    <x v="16"/>
    <n v="28"/>
    <n v="49"/>
    <n v="1372"/>
    <x v="0"/>
    <x v="0"/>
    <s v="2026"/>
    <x v="3"/>
    <d v="2026-02-04T00:00:00"/>
    <d v="1967-07-21T00:00:00"/>
    <n v="58"/>
    <x v="1"/>
  </r>
  <r>
    <x v="419"/>
    <x v="1"/>
    <x v="2"/>
    <x v="2"/>
    <x v="3"/>
    <n v="23"/>
    <n v="498"/>
    <n v="11454"/>
    <x v="1"/>
    <x v="1"/>
    <s v="2026"/>
    <x v="9"/>
    <d v="2026-10-09T00:00:00"/>
    <d v="1987-10-13T00:00:00"/>
    <n v="38"/>
    <x v="0"/>
  </r>
  <r>
    <x v="420"/>
    <x v="2"/>
    <x v="5"/>
    <x v="0"/>
    <x v="13"/>
    <n v="26"/>
    <n v="1034"/>
    <n v="26884"/>
    <x v="1"/>
    <x v="0"/>
    <s v="2026"/>
    <x v="4"/>
    <d v="2026-05-27T00:00:00"/>
    <d v="1968-08-05T00:00:00"/>
    <n v="57"/>
    <x v="1"/>
  </r>
  <r>
    <x v="421"/>
    <x v="0"/>
    <x v="0"/>
    <x v="2"/>
    <x v="10"/>
    <n v="9"/>
    <n v="762"/>
    <n v="6858"/>
    <x v="1"/>
    <x v="0"/>
    <s v="2026"/>
    <x v="11"/>
    <d v="2026-12-02T00:00:00"/>
    <d v="2003-03-11T00:00:00"/>
    <n v="23"/>
    <x v="2"/>
  </r>
  <r>
    <x v="422"/>
    <x v="2"/>
    <x v="2"/>
    <x v="1"/>
    <x v="2"/>
    <n v="44"/>
    <n v="977"/>
    <n v="42988"/>
    <x v="0"/>
    <x v="0"/>
    <s v="2026"/>
    <x v="1"/>
    <d v="2026-03-20T00:00:00"/>
    <d v="1973-05-03T00:00:00"/>
    <n v="52"/>
    <x v="1"/>
  </r>
  <r>
    <x v="423"/>
    <x v="1"/>
    <x v="0"/>
    <x v="2"/>
    <x v="8"/>
    <n v="32"/>
    <n v="165"/>
    <n v="5280"/>
    <x v="1"/>
    <x v="0"/>
    <s v="2026"/>
    <x v="2"/>
    <d v="2026-07-15T00:00:00"/>
    <d v="1968-01-28T00:00:00"/>
    <n v="58"/>
    <x v="1"/>
  </r>
  <r>
    <x v="424"/>
    <x v="0"/>
    <x v="2"/>
    <x v="3"/>
    <x v="14"/>
    <n v="46"/>
    <n v="45"/>
    <n v="2070"/>
    <x v="0"/>
    <x v="2"/>
    <s v="2026"/>
    <x v="7"/>
    <d v="2026-09-25T00:00:00"/>
    <d v="1991-09-11T00:00:00"/>
    <n v="35"/>
    <x v="0"/>
  </r>
  <r>
    <x v="425"/>
    <x v="2"/>
    <x v="6"/>
    <x v="2"/>
    <x v="8"/>
    <n v="23"/>
    <n v="729"/>
    <n v="16767"/>
    <x v="0"/>
    <x v="1"/>
    <s v="2026"/>
    <x v="6"/>
    <d v="2026-11-21T00:00:00"/>
    <d v="1968-01-19T00:00:00"/>
    <n v="58"/>
    <x v="1"/>
  </r>
  <r>
    <x v="426"/>
    <x v="2"/>
    <x v="2"/>
    <x v="2"/>
    <x v="12"/>
    <n v="31"/>
    <n v="557"/>
    <n v="17267"/>
    <x v="0"/>
    <x v="2"/>
    <s v="2026"/>
    <x v="1"/>
    <d v="2026-03-03T00:00:00"/>
    <d v="1995-04-16T00:00:00"/>
    <n v="30"/>
    <x v="2"/>
  </r>
  <r>
    <x v="427"/>
    <x v="2"/>
    <x v="3"/>
    <x v="3"/>
    <x v="14"/>
    <n v="33"/>
    <n v="16"/>
    <n v="528"/>
    <x v="0"/>
    <x v="1"/>
    <s v="2026"/>
    <x v="7"/>
    <d v="2026-09-21T00:00:00"/>
    <d v="2003-08-30T00:00:00"/>
    <n v="23"/>
    <x v="2"/>
  </r>
  <r>
    <x v="428"/>
    <x v="2"/>
    <x v="5"/>
    <x v="1"/>
    <x v="19"/>
    <n v="37"/>
    <n v="997"/>
    <n v="36889"/>
    <x v="1"/>
    <x v="1"/>
    <s v="2026"/>
    <x v="3"/>
    <d v="2026-02-28T00:00:00"/>
    <d v="1975-07-21T00:00:00"/>
    <n v="50"/>
    <x v="1"/>
  </r>
  <r>
    <x v="429"/>
    <x v="1"/>
    <x v="0"/>
    <x v="1"/>
    <x v="1"/>
    <n v="7"/>
    <n v="906"/>
    <n v="6342"/>
    <x v="1"/>
    <x v="0"/>
    <s v="2026"/>
    <x v="2"/>
    <d v="2026-07-02T00:00:00"/>
    <d v="1983-02-11T00:00:00"/>
    <n v="43"/>
    <x v="0"/>
  </r>
  <r>
    <x v="430"/>
    <x v="0"/>
    <x v="5"/>
    <x v="2"/>
    <x v="8"/>
    <n v="22"/>
    <n v="422"/>
    <n v="9284"/>
    <x v="1"/>
    <x v="0"/>
    <s v="2026"/>
    <x v="8"/>
    <d v="2026-01-27T00:00:00"/>
    <d v="1970-05-19T00:00:00"/>
    <n v="55"/>
    <x v="1"/>
  </r>
  <r>
    <x v="431"/>
    <x v="0"/>
    <x v="7"/>
    <x v="1"/>
    <x v="4"/>
    <n v="46"/>
    <n v="1006"/>
    <n v="46276"/>
    <x v="1"/>
    <x v="2"/>
    <s v="2026"/>
    <x v="3"/>
    <d v="2026-02-04T00:00:00"/>
    <d v="2004-12-08T00:00:00"/>
    <n v="21"/>
    <x v="2"/>
  </r>
  <r>
    <x v="432"/>
    <x v="1"/>
    <x v="6"/>
    <x v="3"/>
    <x v="18"/>
    <n v="34"/>
    <n v="25"/>
    <n v="850"/>
    <x v="1"/>
    <x v="1"/>
    <s v="2026"/>
    <x v="11"/>
    <d v="2026-12-04T00:00:00"/>
    <d v="1990-07-22T00:00:00"/>
    <n v="36"/>
    <x v="0"/>
  </r>
  <r>
    <x v="433"/>
    <x v="1"/>
    <x v="3"/>
    <x v="1"/>
    <x v="1"/>
    <n v="17"/>
    <n v="1331"/>
    <n v="22627"/>
    <x v="0"/>
    <x v="2"/>
    <s v="2026"/>
    <x v="0"/>
    <d v="2026-04-07T00:00:00"/>
    <d v="1976-01-17T00:00:00"/>
    <n v="50"/>
    <x v="1"/>
  </r>
  <r>
    <x v="434"/>
    <x v="1"/>
    <x v="5"/>
    <x v="2"/>
    <x v="3"/>
    <n v="7"/>
    <n v="474"/>
    <n v="3318"/>
    <x v="1"/>
    <x v="0"/>
    <s v="2026"/>
    <x v="8"/>
    <d v="2026-01-21T00:00:00"/>
    <d v="1990-12-21T00:00:00"/>
    <n v="35"/>
    <x v="0"/>
  </r>
  <r>
    <x v="435"/>
    <x v="2"/>
    <x v="5"/>
    <x v="2"/>
    <x v="8"/>
    <n v="1"/>
    <n v="593"/>
    <n v="593"/>
    <x v="0"/>
    <x v="0"/>
    <s v="2026"/>
    <x v="11"/>
    <d v="2026-12-02T00:00:00"/>
    <d v="1991-09-02T00:00:00"/>
    <n v="35"/>
    <x v="0"/>
  </r>
  <r>
    <x v="436"/>
    <x v="3"/>
    <x v="3"/>
    <x v="2"/>
    <x v="5"/>
    <n v="7"/>
    <n v="446"/>
    <n v="3122"/>
    <x v="1"/>
    <x v="0"/>
    <s v="2026"/>
    <x v="6"/>
    <d v="2026-11-20T00:00:00"/>
    <d v="1966-10-14T00:00:00"/>
    <n v="60"/>
    <x v="1"/>
  </r>
  <r>
    <x v="437"/>
    <x v="0"/>
    <x v="6"/>
    <x v="2"/>
    <x v="3"/>
    <n v="26"/>
    <n v="401"/>
    <n v="10426"/>
    <x v="1"/>
    <x v="0"/>
    <s v="2026"/>
    <x v="4"/>
    <d v="2026-05-15T00:00:00"/>
    <d v="1992-10-13T00:00:00"/>
    <n v="33"/>
    <x v="0"/>
  </r>
  <r>
    <x v="438"/>
    <x v="0"/>
    <x v="1"/>
    <x v="3"/>
    <x v="18"/>
    <n v="21"/>
    <n v="47"/>
    <n v="987"/>
    <x v="0"/>
    <x v="0"/>
    <s v="2026"/>
    <x v="11"/>
    <d v="2026-12-18T00:00:00"/>
    <d v="1968-09-05T00:00:00"/>
    <n v="58"/>
    <x v="1"/>
  </r>
  <r>
    <x v="439"/>
    <x v="0"/>
    <x v="2"/>
    <x v="3"/>
    <x v="16"/>
    <n v="44"/>
    <n v="10"/>
    <n v="440"/>
    <x v="0"/>
    <x v="2"/>
    <s v="2026"/>
    <x v="11"/>
    <d v="2026-12-21T00:00:00"/>
    <d v="1983-10-22T00:00:00"/>
    <n v="43"/>
    <x v="0"/>
  </r>
  <r>
    <x v="440"/>
    <x v="3"/>
    <x v="3"/>
    <x v="1"/>
    <x v="2"/>
    <n v="37"/>
    <n v="1446"/>
    <n v="53502"/>
    <x v="0"/>
    <x v="0"/>
    <s v="2026"/>
    <x v="11"/>
    <d v="2026-12-14T00:00:00"/>
    <d v="1994-06-28T00:00:00"/>
    <n v="32"/>
    <x v="0"/>
  </r>
  <r>
    <x v="441"/>
    <x v="1"/>
    <x v="1"/>
    <x v="0"/>
    <x v="0"/>
    <n v="25"/>
    <n v="397"/>
    <n v="9925"/>
    <x v="1"/>
    <x v="1"/>
    <s v="2026"/>
    <x v="8"/>
    <d v="2026-01-22T00:00:00"/>
    <d v="1991-03-08T00:00:00"/>
    <n v="34"/>
    <x v="0"/>
  </r>
  <r>
    <x v="442"/>
    <x v="3"/>
    <x v="1"/>
    <x v="3"/>
    <x v="16"/>
    <n v="10"/>
    <n v="5"/>
    <n v="50"/>
    <x v="0"/>
    <x v="2"/>
    <s v="2026"/>
    <x v="11"/>
    <d v="2026-12-26T00:00:00"/>
    <d v="1990-05-10T00:00:00"/>
    <n v="36"/>
    <x v="0"/>
  </r>
  <r>
    <x v="443"/>
    <x v="0"/>
    <x v="3"/>
    <x v="1"/>
    <x v="1"/>
    <n v="40"/>
    <n v="1463"/>
    <n v="58520"/>
    <x v="0"/>
    <x v="0"/>
    <s v="2026"/>
    <x v="11"/>
    <d v="2026-12-18T00:00:00"/>
    <d v="1988-06-14T00:00:00"/>
    <n v="38"/>
    <x v="0"/>
  </r>
  <r>
    <x v="444"/>
    <x v="3"/>
    <x v="7"/>
    <x v="3"/>
    <x v="14"/>
    <n v="25"/>
    <n v="26"/>
    <n v="650"/>
    <x v="0"/>
    <x v="0"/>
    <s v="2026"/>
    <x v="2"/>
    <d v="2026-07-26T00:00:00"/>
    <d v="1979-03-12T00:00:00"/>
    <n v="47"/>
    <x v="1"/>
  </r>
  <r>
    <x v="445"/>
    <x v="3"/>
    <x v="1"/>
    <x v="3"/>
    <x v="17"/>
    <n v="40"/>
    <n v="30"/>
    <n v="1200"/>
    <x v="0"/>
    <x v="2"/>
    <s v="2026"/>
    <x v="0"/>
    <d v="2026-04-21T00:00:00"/>
    <d v="1976-09-12T00:00:00"/>
    <n v="49"/>
    <x v="1"/>
  </r>
  <r>
    <x v="446"/>
    <x v="1"/>
    <x v="3"/>
    <x v="1"/>
    <x v="7"/>
    <n v="44"/>
    <n v="232"/>
    <n v="10208"/>
    <x v="0"/>
    <x v="2"/>
    <s v="2026"/>
    <x v="1"/>
    <d v="2026-03-06T00:00:00"/>
    <d v="1974-03-01T00:00:00"/>
    <n v="52"/>
    <x v="1"/>
  </r>
  <r>
    <x v="447"/>
    <x v="3"/>
    <x v="7"/>
    <x v="3"/>
    <x v="18"/>
    <n v="17"/>
    <n v="10"/>
    <n v="170"/>
    <x v="1"/>
    <x v="2"/>
    <s v="2026"/>
    <x v="1"/>
    <d v="2026-03-19T00:00:00"/>
    <d v="1995-01-16T00:00:00"/>
    <n v="31"/>
    <x v="0"/>
  </r>
  <r>
    <x v="448"/>
    <x v="3"/>
    <x v="5"/>
    <x v="2"/>
    <x v="10"/>
    <n v="10"/>
    <n v="380"/>
    <n v="3800"/>
    <x v="1"/>
    <x v="1"/>
    <s v="2026"/>
    <x v="9"/>
    <d v="2026-10-02T00:00:00"/>
    <d v="1997-02-16T00:00:00"/>
    <n v="29"/>
    <x v="2"/>
  </r>
  <r>
    <x v="449"/>
    <x v="0"/>
    <x v="3"/>
    <x v="3"/>
    <x v="18"/>
    <n v="15"/>
    <n v="13"/>
    <n v="195"/>
    <x v="1"/>
    <x v="1"/>
    <s v="2026"/>
    <x v="7"/>
    <d v="2026-09-03T00:00:00"/>
    <d v="1979-02-04T00:00:00"/>
    <n v="47"/>
    <x v="1"/>
  </r>
  <r>
    <x v="450"/>
    <x v="3"/>
    <x v="4"/>
    <x v="3"/>
    <x v="17"/>
    <n v="14"/>
    <n v="44"/>
    <n v="616"/>
    <x v="0"/>
    <x v="0"/>
    <s v="2026"/>
    <x v="5"/>
    <d v="2026-06-11T00:00:00"/>
    <d v="1975-09-16T00:00:00"/>
    <n v="50"/>
    <x v="1"/>
  </r>
  <r>
    <x v="451"/>
    <x v="3"/>
    <x v="5"/>
    <x v="1"/>
    <x v="2"/>
    <n v="49"/>
    <n v="1409"/>
    <n v="69041"/>
    <x v="0"/>
    <x v="0"/>
    <s v="2026"/>
    <x v="8"/>
    <d v="2026-01-04T00:00:00"/>
    <d v="1976-11-30T00:00:00"/>
    <n v="49"/>
    <x v="1"/>
  </r>
  <r>
    <x v="452"/>
    <x v="1"/>
    <x v="3"/>
    <x v="2"/>
    <x v="10"/>
    <n v="44"/>
    <n v="378"/>
    <n v="16632"/>
    <x v="1"/>
    <x v="0"/>
    <s v="2026"/>
    <x v="2"/>
    <d v="2026-07-26T00:00:00"/>
    <d v="1982-10-03T00:00:00"/>
    <n v="43"/>
    <x v="0"/>
  </r>
  <r>
    <x v="453"/>
    <x v="2"/>
    <x v="5"/>
    <x v="3"/>
    <x v="14"/>
    <n v="34"/>
    <n v="25"/>
    <n v="850"/>
    <x v="0"/>
    <x v="2"/>
    <s v="2026"/>
    <x v="7"/>
    <d v="2026-09-26T00:00:00"/>
    <d v="1970-11-15T00:00:00"/>
    <n v="55"/>
    <x v="1"/>
  </r>
  <r>
    <x v="454"/>
    <x v="1"/>
    <x v="0"/>
    <x v="2"/>
    <x v="3"/>
    <n v="33"/>
    <n v="134"/>
    <n v="4422"/>
    <x v="0"/>
    <x v="0"/>
    <s v="2026"/>
    <x v="3"/>
    <d v="2026-02-06T00:00:00"/>
    <d v="1995-02-17T00:00:00"/>
    <n v="30"/>
    <x v="2"/>
  </r>
  <r>
    <x v="455"/>
    <x v="2"/>
    <x v="0"/>
    <x v="2"/>
    <x v="8"/>
    <n v="7"/>
    <n v="260"/>
    <n v="1820"/>
    <x v="0"/>
    <x v="1"/>
    <s v="2026"/>
    <x v="7"/>
    <d v="2026-09-27T00:00:00"/>
    <d v="1993-12-15T00:00:00"/>
    <n v="32"/>
    <x v="0"/>
  </r>
  <r>
    <x v="456"/>
    <x v="0"/>
    <x v="4"/>
    <x v="1"/>
    <x v="4"/>
    <n v="3"/>
    <n v="259"/>
    <n v="777"/>
    <x v="0"/>
    <x v="0"/>
    <s v="2026"/>
    <x v="3"/>
    <d v="2026-02-02T00:00:00"/>
    <d v="1978-06-17T00:00:00"/>
    <n v="47"/>
    <x v="1"/>
  </r>
  <r>
    <x v="457"/>
    <x v="2"/>
    <x v="3"/>
    <x v="2"/>
    <x v="3"/>
    <n v="27"/>
    <n v="447"/>
    <n v="12069"/>
    <x v="1"/>
    <x v="1"/>
    <s v="2026"/>
    <x v="10"/>
    <d v="2026-08-21T00:00:00"/>
    <d v="1985-07-06T00:00:00"/>
    <n v="41"/>
    <x v="0"/>
  </r>
  <r>
    <x v="458"/>
    <x v="1"/>
    <x v="7"/>
    <x v="1"/>
    <x v="1"/>
    <n v="35"/>
    <n v="92"/>
    <n v="3220"/>
    <x v="0"/>
    <x v="2"/>
    <s v="2026"/>
    <x v="6"/>
    <d v="2026-11-24T00:00:00"/>
    <d v="1979-03-09T00:00:00"/>
    <n v="47"/>
    <x v="1"/>
  </r>
  <r>
    <x v="459"/>
    <x v="3"/>
    <x v="5"/>
    <x v="0"/>
    <x v="6"/>
    <n v="44"/>
    <n v="717"/>
    <n v="31548"/>
    <x v="1"/>
    <x v="2"/>
    <s v="2026"/>
    <x v="9"/>
    <d v="2026-10-03T00:00:00"/>
    <d v="1998-09-23T00:00:00"/>
    <n v="28"/>
    <x v="2"/>
  </r>
  <r>
    <x v="460"/>
    <x v="2"/>
    <x v="4"/>
    <x v="0"/>
    <x v="13"/>
    <n v="11"/>
    <n v="1192"/>
    <n v="13112"/>
    <x v="0"/>
    <x v="2"/>
    <s v="2026"/>
    <x v="0"/>
    <d v="2026-04-05T00:00:00"/>
    <d v="1968-04-03T00:00:00"/>
    <n v="58"/>
    <x v="1"/>
  </r>
  <r>
    <x v="461"/>
    <x v="1"/>
    <x v="7"/>
    <x v="3"/>
    <x v="14"/>
    <n v="36"/>
    <n v="37"/>
    <n v="1332"/>
    <x v="1"/>
    <x v="0"/>
    <s v="2026"/>
    <x v="1"/>
    <d v="2026-03-04T00:00:00"/>
    <d v="1965-06-02T00:00:00"/>
    <n v="60"/>
    <x v="1"/>
  </r>
  <r>
    <x v="462"/>
    <x v="0"/>
    <x v="6"/>
    <x v="0"/>
    <x v="6"/>
    <n v="14"/>
    <n v="804"/>
    <n v="11256"/>
    <x v="0"/>
    <x v="1"/>
    <s v="2026"/>
    <x v="0"/>
    <d v="2026-04-14T00:00:00"/>
    <d v="1985-07-23T00:00:00"/>
    <n v="40"/>
    <x v="0"/>
  </r>
  <r>
    <x v="463"/>
    <x v="1"/>
    <x v="5"/>
    <x v="3"/>
    <x v="17"/>
    <n v="8"/>
    <n v="13"/>
    <n v="104"/>
    <x v="0"/>
    <x v="2"/>
    <s v="2026"/>
    <x v="6"/>
    <d v="2026-11-26T00:00:00"/>
    <d v="1992-11-12T00:00:00"/>
    <n v="34"/>
    <x v="0"/>
  </r>
  <r>
    <x v="464"/>
    <x v="2"/>
    <x v="2"/>
    <x v="0"/>
    <x v="6"/>
    <n v="7"/>
    <n v="504"/>
    <n v="3528"/>
    <x v="1"/>
    <x v="1"/>
    <s v="2026"/>
    <x v="11"/>
    <d v="2026-12-19T00:00:00"/>
    <d v="1990-04-04T00:00:00"/>
    <n v="36"/>
    <x v="0"/>
  </r>
  <r>
    <x v="465"/>
    <x v="3"/>
    <x v="5"/>
    <x v="2"/>
    <x v="10"/>
    <n v="19"/>
    <n v="684"/>
    <n v="12996"/>
    <x v="1"/>
    <x v="2"/>
    <s v="2026"/>
    <x v="3"/>
    <d v="2026-02-07T00:00:00"/>
    <d v="1969-06-27T00:00:00"/>
    <n v="56"/>
    <x v="1"/>
  </r>
  <r>
    <x v="466"/>
    <x v="3"/>
    <x v="3"/>
    <x v="3"/>
    <x v="18"/>
    <n v="10"/>
    <n v="38"/>
    <n v="380"/>
    <x v="0"/>
    <x v="1"/>
    <s v="2026"/>
    <x v="9"/>
    <d v="2026-10-12T00:00:00"/>
    <d v="1968-04-15T00:00:00"/>
    <n v="58"/>
    <x v="1"/>
  </r>
  <r>
    <x v="467"/>
    <x v="2"/>
    <x v="4"/>
    <x v="3"/>
    <x v="17"/>
    <n v="15"/>
    <n v="47"/>
    <n v="705"/>
    <x v="1"/>
    <x v="1"/>
    <s v="2026"/>
    <x v="11"/>
    <d v="2026-12-21T00:00:00"/>
    <d v="1989-02-12T00:00:00"/>
    <n v="37"/>
    <x v="0"/>
  </r>
  <r>
    <x v="468"/>
    <x v="3"/>
    <x v="5"/>
    <x v="3"/>
    <x v="15"/>
    <n v="30"/>
    <n v="30"/>
    <n v="900"/>
    <x v="0"/>
    <x v="1"/>
    <s v="2026"/>
    <x v="5"/>
    <d v="2026-06-25T00:00:00"/>
    <d v="1974-07-25T00:00:00"/>
    <n v="51"/>
    <x v="1"/>
  </r>
  <r>
    <x v="469"/>
    <x v="1"/>
    <x v="0"/>
    <x v="0"/>
    <x v="6"/>
    <n v="9"/>
    <n v="502"/>
    <n v="4518"/>
    <x v="0"/>
    <x v="0"/>
    <s v="2026"/>
    <x v="4"/>
    <d v="2026-05-24T00:00:00"/>
    <d v="1987-09-11T00:00:00"/>
    <n v="38"/>
    <x v="0"/>
  </r>
  <r>
    <x v="470"/>
    <x v="1"/>
    <x v="4"/>
    <x v="0"/>
    <x v="9"/>
    <n v="38"/>
    <n v="929"/>
    <n v="35302"/>
    <x v="1"/>
    <x v="0"/>
    <s v="2026"/>
    <x v="9"/>
    <d v="2026-10-07T00:00:00"/>
    <d v="1976-11-24T00:00:00"/>
    <n v="49"/>
    <x v="1"/>
  </r>
  <r>
    <x v="471"/>
    <x v="3"/>
    <x v="6"/>
    <x v="2"/>
    <x v="3"/>
    <n v="26"/>
    <n v="278"/>
    <n v="7228"/>
    <x v="1"/>
    <x v="0"/>
    <s v="2026"/>
    <x v="9"/>
    <d v="2026-10-24T00:00:00"/>
    <d v="1970-12-11T00:00:00"/>
    <n v="55"/>
    <x v="1"/>
  </r>
  <r>
    <x v="472"/>
    <x v="0"/>
    <x v="6"/>
    <x v="0"/>
    <x v="13"/>
    <n v="24"/>
    <n v="1128"/>
    <n v="27072"/>
    <x v="0"/>
    <x v="2"/>
    <s v="2026"/>
    <x v="8"/>
    <d v="2026-01-22T00:00:00"/>
    <d v="1980-08-28T00:00:00"/>
    <n v="45"/>
    <x v="0"/>
  </r>
  <r>
    <x v="473"/>
    <x v="0"/>
    <x v="5"/>
    <x v="2"/>
    <x v="5"/>
    <n v="37"/>
    <n v="629"/>
    <n v="23273"/>
    <x v="1"/>
    <x v="1"/>
    <s v="2026"/>
    <x v="6"/>
    <d v="2026-11-28T00:00:00"/>
    <d v="2004-07-07T00:00:00"/>
    <n v="22"/>
    <x v="2"/>
  </r>
  <r>
    <x v="474"/>
    <x v="0"/>
    <x v="7"/>
    <x v="2"/>
    <x v="8"/>
    <n v="15"/>
    <n v="114"/>
    <n v="1710"/>
    <x v="0"/>
    <x v="0"/>
    <s v="2026"/>
    <x v="4"/>
    <d v="2026-05-12T00:00:00"/>
    <d v="1968-02-02T00:00:00"/>
    <n v="58"/>
    <x v="1"/>
  </r>
  <r>
    <x v="475"/>
    <x v="3"/>
    <x v="0"/>
    <x v="3"/>
    <x v="15"/>
    <n v="31"/>
    <n v="31"/>
    <n v="961"/>
    <x v="1"/>
    <x v="0"/>
    <s v="2026"/>
    <x v="8"/>
    <d v="2026-01-02T00:00:00"/>
    <d v="2004-06-10T00:00:00"/>
    <n v="21"/>
    <x v="2"/>
  </r>
  <r>
    <x v="476"/>
    <x v="2"/>
    <x v="2"/>
    <x v="3"/>
    <x v="18"/>
    <n v="35"/>
    <n v="38"/>
    <n v="1330"/>
    <x v="0"/>
    <x v="0"/>
    <s v="2026"/>
    <x v="1"/>
    <d v="2026-03-13T00:00:00"/>
    <d v="1975-12-17T00:00:00"/>
    <n v="50"/>
    <x v="1"/>
  </r>
  <r>
    <x v="477"/>
    <x v="3"/>
    <x v="5"/>
    <x v="3"/>
    <x v="15"/>
    <n v="15"/>
    <n v="35"/>
    <n v="525"/>
    <x v="1"/>
    <x v="0"/>
    <s v="2026"/>
    <x v="2"/>
    <d v="2026-07-12T00:00:00"/>
    <d v="1981-07-30T00:00:00"/>
    <n v="44"/>
    <x v="0"/>
  </r>
  <r>
    <x v="478"/>
    <x v="1"/>
    <x v="4"/>
    <x v="0"/>
    <x v="9"/>
    <n v="9"/>
    <n v="1000"/>
    <n v="9000"/>
    <x v="0"/>
    <x v="1"/>
    <s v="2026"/>
    <x v="1"/>
    <d v="2026-03-08T00:00:00"/>
    <d v="1977-10-14T00:00:00"/>
    <n v="48"/>
    <x v="1"/>
  </r>
  <r>
    <x v="479"/>
    <x v="1"/>
    <x v="1"/>
    <x v="2"/>
    <x v="5"/>
    <n v="24"/>
    <n v="666"/>
    <n v="15984"/>
    <x v="1"/>
    <x v="2"/>
    <s v="2026"/>
    <x v="11"/>
    <d v="2026-12-27T00:00:00"/>
    <d v="1972-01-29T00:00:00"/>
    <n v="54"/>
    <x v="1"/>
  </r>
  <r>
    <x v="480"/>
    <x v="0"/>
    <x v="3"/>
    <x v="0"/>
    <x v="13"/>
    <n v="44"/>
    <n v="1080"/>
    <n v="47520"/>
    <x v="0"/>
    <x v="1"/>
    <s v="2026"/>
    <x v="10"/>
    <d v="2026-08-07T00:00:00"/>
    <d v="1984-08-28T00:00:00"/>
    <n v="41"/>
    <x v="0"/>
  </r>
  <r>
    <x v="481"/>
    <x v="1"/>
    <x v="6"/>
    <x v="0"/>
    <x v="11"/>
    <n v="37"/>
    <n v="429"/>
    <n v="15873"/>
    <x v="0"/>
    <x v="1"/>
    <s v="2026"/>
    <x v="1"/>
    <d v="2026-03-21T00:00:00"/>
    <d v="2002-05-27T00:00:00"/>
    <n v="23"/>
    <x v="2"/>
  </r>
  <r>
    <x v="482"/>
    <x v="1"/>
    <x v="4"/>
    <x v="3"/>
    <x v="17"/>
    <n v="34"/>
    <n v="27"/>
    <n v="918"/>
    <x v="0"/>
    <x v="1"/>
    <s v="2026"/>
    <x v="9"/>
    <d v="2026-10-19T00:00:00"/>
    <d v="1989-05-15T00:00:00"/>
    <n v="37"/>
    <x v="0"/>
  </r>
  <r>
    <x v="483"/>
    <x v="2"/>
    <x v="6"/>
    <x v="1"/>
    <x v="2"/>
    <n v="31"/>
    <n v="1066"/>
    <n v="33046"/>
    <x v="0"/>
    <x v="0"/>
    <s v="2026"/>
    <x v="1"/>
    <d v="2026-03-08T00:00:00"/>
    <d v="1996-07-23T00:00:00"/>
    <n v="29"/>
    <x v="2"/>
  </r>
  <r>
    <x v="484"/>
    <x v="1"/>
    <x v="1"/>
    <x v="3"/>
    <x v="17"/>
    <n v="47"/>
    <n v="45"/>
    <n v="2115"/>
    <x v="1"/>
    <x v="2"/>
    <s v="2026"/>
    <x v="5"/>
    <d v="2026-06-15T00:00:00"/>
    <d v="1978-07-28T00:00:00"/>
    <n v="47"/>
    <x v="1"/>
  </r>
  <r>
    <x v="485"/>
    <x v="2"/>
    <x v="6"/>
    <x v="2"/>
    <x v="10"/>
    <n v="2"/>
    <n v="257"/>
    <n v="514"/>
    <x v="0"/>
    <x v="1"/>
    <s v="2026"/>
    <x v="7"/>
    <d v="2026-09-28T00:00:00"/>
    <d v="1992-06-09T00:00:00"/>
    <n v="34"/>
    <x v="0"/>
  </r>
  <r>
    <x v="486"/>
    <x v="1"/>
    <x v="0"/>
    <x v="1"/>
    <x v="2"/>
    <n v="39"/>
    <n v="159"/>
    <n v="6201"/>
    <x v="1"/>
    <x v="0"/>
    <s v="2026"/>
    <x v="7"/>
    <d v="2026-09-17T00:00:00"/>
    <d v="2001-03-16T00:00:00"/>
    <n v="25"/>
    <x v="2"/>
  </r>
  <r>
    <x v="487"/>
    <x v="2"/>
    <x v="3"/>
    <x v="2"/>
    <x v="12"/>
    <n v="35"/>
    <n v="51"/>
    <n v="1785"/>
    <x v="1"/>
    <x v="1"/>
    <s v="2026"/>
    <x v="6"/>
    <d v="2026-11-21T00:00:00"/>
    <d v="1994-05-03T00:00:00"/>
    <n v="32"/>
    <x v="0"/>
  </r>
  <r>
    <x v="488"/>
    <x v="1"/>
    <x v="3"/>
    <x v="1"/>
    <x v="7"/>
    <n v="31"/>
    <n v="860"/>
    <n v="26660"/>
    <x v="0"/>
    <x v="2"/>
    <s v="2026"/>
    <x v="5"/>
    <d v="2026-06-19T00:00:00"/>
    <d v="1988-09-23T00:00:00"/>
    <n v="37"/>
    <x v="0"/>
  </r>
  <r>
    <x v="489"/>
    <x v="2"/>
    <x v="4"/>
    <x v="1"/>
    <x v="7"/>
    <n v="6"/>
    <n v="660"/>
    <n v="3960"/>
    <x v="0"/>
    <x v="1"/>
    <s v="2026"/>
    <x v="9"/>
    <d v="2026-10-18T00:00:00"/>
    <d v="1965-05-09T00:00:00"/>
    <n v="61"/>
    <x v="3"/>
  </r>
  <r>
    <x v="490"/>
    <x v="2"/>
    <x v="1"/>
    <x v="0"/>
    <x v="9"/>
    <n v="34"/>
    <n v="341"/>
    <n v="11594"/>
    <x v="1"/>
    <x v="2"/>
    <s v="2026"/>
    <x v="7"/>
    <d v="2026-09-01T00:00:00"/>
    <d v="1994-12-17T00:00:00"/>
    <n v="31"/>
    <x v="0"/>
  </r>
  <r>
    <x v="491"/>
    <x v="3"/>
    <x v="4"/>
    <x v="3"/>
    <x v="14"/>
    <n v="10"/>
    <n v="29"/>
    <n v="290"/>
    <x v="1"/>
    <x v="0"/>
    <s v="2026"/>
    <x v="6"/>
    <d v="2026-11-19T00:00:00"/>
    <d v="2001-08-27T00:00:00"/>
    <n v="25"/>
    <x v="2"/>
  </r>
  <r>
    <x v="492"/>
    <x v="0"/>
    <x v="3"/>
    <x v="3"/>
    <x v="18"/>
    <n v="18"/>
    <n v="45"/>
    <n v="810"/>
    <x v="1"/>
    <x v="1"/>
    <s v="2026"/>
    <x v="2"/>
    <d v="2026-07-25T00:00:00"/>
    <d v="1989-11-17T00:00:00"/>
    <n v="36"/>
    <x v="0"/>
  </r>
  <r>
    <x v="493"/>
    <x v="3"/>
    <x v="3"/>
    <x v="3"/>
    <x v="18"/>
    <n v="36"/>
    <n v="32"/>
    <n v="1152"/>
    <x v="0"/>
    <x v="0"/>
    <s v="2026"/>
    <x v="4"/>
    <d v="2026-05-10T00:00:00"/>
    <d v="1978-06-07T00:00:00"/>
    <n v="47"/>
    <x v="1"/>
  </r>
  <r>
    <x v="494"/>
    <x v="2"/>
    <x v="2"/>
    <x v="0"/>
    <x v="11"/>
    <n v="29"/>
    <n v="431"/>
    <n v="12499"/>
    <x v="0"/>
    <x v="1"/>
    <s v="2026"/>
    <x v="3"/>
    <d v="2026-02-07T00:00:00"/>
    <d v="1994-10-04T00:00:00"/>
    <n v="31"/>
    <x v="0"/>
  </r>
  <r>
    <x v="495"/>
    <x v="2"/>
    <x v="0"/>
    <x v="1"/>
    <x v="1"/>
    <n v="6"/>
    <n v="377"/>
    <n v="2262"/>
    <x v="0"/>
    <x v="2"/>
    <s v="2026"/>
    <x v="10"/>
    <d v="2026-08-20T00:00:00"/>
    <d v="1969-08-25T00:00:00"/>
    <n v="56"/>
    <x v="1"/>
  </r>
  <r>
    <x v="496"/>
    <x v="2"/>
    <x v="3"/>
    <x v="2"/>
    <x v="3"/>
    <n v="6"/>
    <n v="673"/>
    <n v="4038"/>
    <x v="1"/>
    <x v="0"/>
    <s v="2026"/>
    <x v="8"/>
    <d v="2026-01-24T00:00:00"/>
    <d v="2004-05-23T00:00:00"/>
    <n v="21"/>
    <x v="2"/>
  </r>
  <r>
    <x v="497"/>
    <x v="0"/>
    <x v="4"/>
    <x v="0"/>
    <x v="11"/>
    <n v="41"/>
    <n v="1112"/>
    <n v="45592"/>
    <x v="0"/>
    <x v="1"/>
    <s v="2026"/>
    <x v="10"/>
    <d v="2026-08-01T00:00:00"/>
    <d v="1971-01-10T00:00:00"/>
    <n v="55"/>
    <x v="1"/>
  </r>
  <r>
    <x v="498"/>
    <x v="0"/>
    <x v="7"/>
    <x v="2"/>
    <x v="12"/>
    <n v="11"/>
    <n v="740"/>
    <n v="8140"/>
    <x v="0"/>
    <x v="1"/>
    <s v="2026"/>
    <x v="8"/>
    <d v="2026-01-12T00:00:00"/>
    <d v="1976-11-12T00:00:00"/>
    <n v="49"/>
    <x v="1"/>
  </r>
  <r>
    <x v="499"/>
    <x v="0"/>
    <x v="7"/>
    <x v="3"/>
    <x v="15"/>
    <n v="23"/>
    <n v="44"/>
    <n v="1012"/>
    <x v="0"/>
    <x v="1"/>
    <s v="2026"/>
    <x v="2"/>
    <d v="2026-07-13T00:00:00"/>
    <d v="1970-03-07T00:00:00"/>
    <n v="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11F71-FDAD-4EAE-8737-9409D41DE11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I20" firstHeaderRow="1" firstDataRow="1" firstDataCol="0"/>
  <pivotFields count="16">
    <pivotField showAll="0"/>
    <pivotField showAll="0">
      <items count="5">
        <item x="3"/>
        <item x="1"/>
        <item x="0"/>
        <item x="2"/>
        <item t="default"/>
      </items>
    </pivotField>
    <pivotField showAll="0"/>
    <pivotField showAll="0">
      <items count="5">
        <item x="0"/>
        <item x="2"/>
        <item x="1"/>
        <item x="3"/>
        <item t="default"/>
      </items>
    </pivotField>
    <pivotField showAll="0"/>
    <pivotField showAll="0"/>
    <pivotField numFmtId="164" showAll="0"/>
    <pivotField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dataField="1" showAll="0"/>
    <pivotField showAll="0"/>
  </pivotFields>
  <rowItems count="1">
    <i/>
  </rowItems>
  <colItems count="1">
    <i/>
  </colItems>
  <dataFields count="1">
    <dataField name="Average of Age " fld="14"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332067-42D1-42F3-86D3-292C374B546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G20" firstHeaderRow="1" firstDataRow="1" firstDataCol="0"/>
  <pivotFields count="16">
    <pivotField showAll="0"/>
    <pivotField showAll="0">
      <items count="5">
        <item x="3"/>
        <item x="1"/>
        <item x="0"/>
        <item x="2"/>
        <item t="default"/>
      </items>
    </pivotField>
    <pivotField showAll="0"/>
    <pivotField showAll="0">
      <items count="5">
        <item x="0"/>
        <item x="2"/>
        <item x="1"/>
        <item x="3"/>
        <item t="default"/>
      </items>
    </pivotField>
    <pivotField showAll="0"/>
    <pivotField dataField="1" showAll="0"/>
    <pivotField numFmtId="164" showAll="0"/>
    <pivotField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showAll="0"/>
  </pivotFields>
  <rowItems count="1">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EBE3EB-95FB-4D43-A740-5C077FD16C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5">
        <item x="3"/>
        <item x="1"/>
        <item x="0"/>
        <item x="2"/>
        <item t="default"/>
      </items>
    </pivotField>
    <pivotField showAll="0"/>
    <pivotField showAll="0">
      <items count="5">
        <item x="0"/>
        <item x="2"/>
        <item x="1"/>
        <item x="3"/>
        <item t="default"/>
      </items>
    </pivotField>
    <pivotField showAll="0"/>
    <pivotField showAll="0"/>
    <pivotField numFmtId="164" showAll="0"/>
    <pivotField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CAF983-FF8E-4A1A-B8AC-536B13D32C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8" firstHeaderRow="1" firstDataRow="1" firstDataCol="1"/>
  <pivotFields count="16">
    <pivotField showAll="0"/>
    <pivotField showAll="0">
      <items count="5">
        <item x="3"/>
        <item x="1"/>
        <item x="0"/>
        <item x="2"/>
        <item t="default"/>
      </items>
    </pivotField>
    <pivotField showAll="0"/>
    <pivotField showAll="0">
      <items count="5">
        <item x="0"/>
        <item x="2"/>
        <item x="1"/>
        <item x="3"/>
        <item t="default"/>
      </items>
    </pivotField>
    <pivotField showAll="0"/>
    <pivotField showAll="0"/>
    <pivotField numFmtId="164" showAll="0"/>
    <pivotField dataField="1"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axis="axisRow" showAll="0">
      <items count="5">
        <item x="1"/>
        <item x="3"/>
        <item x="0"/>
        <item x="2"/>
        <item t="default"/>
      </items>
    </pivotField>
  </pivotFields>
  <rowFields count="1">
    <field x="15"/>
  </rowFields>
  <rowItems count="5">
    <i>
      <x/>
    </i>
    <i>
      <x v="1"/>
    </i>
    <i>
      <x v="2"/>
    </i>
    <i>
      <x v="3"/>
    </i>
    <i t="grand">
      <x/>
    </i>
  </rowItems>
  <colItems count="1">
    <i/>
  </colItems>
  <dataFields count="1">
    <dataField name="Sum of Total Revenue" fld="7" baseField="0" baseItem="0" numFmtId="16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0"/>
          </reference>
        </references>
      </pivotArea>
    </chartFormat>
    <chartFormat chart="2" format="8">
      <pivotArea type="data" outline="0" fieldPosition="0">
        <references count="2">
          <reference field="4294967294" count="1" selected="0">
            <x v="0"/>
          </reference>
          <reference field="15" count="1" selected="0">
            <x v="1"/>
          </reference>
        </references>
      </pivotArea>
    </chartFormat>
    <chartFormat chart="2" format="9">
      <pivotArea type="data" outline="0" fieldPosition="0">
        <references count="2">
          <reference field="4294967294" count="1" selected="0">
            <x v="0"/>
          </reference>
          <reference field="15" count="1" selected="0">
            <x v="2"/>
          </reference>
        </references>
      </pivotArea>
    </chartFormat>
    <chartFormat chart="2"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34F4E8-E11A-4681-98FE-3A95DB0368B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0:F16" firstHeaderRow="1" firstDataRow="1" firstDataCol="1"/>
  <pivotFields count="16">
    <pivotField showAll="0"/>
    <pivotField showAll="0">
      <items count="5">
        <item x="3"/>
        <item x="1"/>
        <item x="0"/>
        <item x="2"/>
        <item t="default"/>
      </items>
    </pivotField>
    <pivotField showAll="0"/>
    <pivotField showAll="0">
      <items count="5">
        <item x="0"/>
        <item x="2"/>
        <item x="1"/>
        <item x="3"/>
        <item t="default"/>
      </items>
    </pivotField>
    <pivotField axis="axisRow" showAll="0" measureFilter="1">
      <items count="21">
        <item x="3"/>
        <item x="8"/>
        <item x="12"/>
        <item x="10"/>
        <item x="15"/>
        <item x="9"/>
        <item x="0"/>
        <item x="13"/>
        <item x="14"/>
        <item x="5"/>
        <item x="16"/>
        <item x="2"/>
        <item x="1"/>
        <item x="17"/>
        <item x="4"/>
        <item x="7"/>
        <item x="19"/>
        <item x="11"/>
        <item x="18"/>
        <item x="6"/>
        <item t="default"/>
      </items>
    </pivotField>
    <pivotField showAll="0"/>
    <pivotField numFmtId="164" showAll="0"/>
    <pivotField dataField="1"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showAll="0"/>
  </pivotFields>
  <rowFields count="1">
    <field x="4"/>
  </rowFields>
  <rowItems count="6">
    <i>
      <x v="7"/>
    </i>
    <i>
      <x v="11"/>
    </i>
    <i>
      <x v="14"/>
    </i>
    <i>
      <x v="15"/>
    </i>
    <i>
      <x v="16"/>
    </i>
    <i t="grand">
      <x/>
    </i>
  </rowItems>
  <colItems count="1">
    <i/>
  </colItems>
  <dataFields count="1">
    <dataField name="Sum of Total Revenue" fld="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05C0B7-6F59-498F-9ACE-1A1EB847F66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16">
    <pivotField showAll="0"/>
    <pivotField showAll="0">
      <items count="5">
        <item x="3"/>
        <item x="1"/>
        <item x="0"/>
        <item x="2"/>
        <item t="default"/>
      </items>
    </pivotField>
    <pivotField showAll="0"/>
    <pivotField showAll="0">
      <items count="5">
        <item x="0"/>
        <item x="2"/>
        <item x="1"/>
        <item x="3"/>
        <item t="default"/>
      </items>
    </pivotField>
    <pivotField showAll="0"/>
    <pivotField showAll="0"/>
    <pivotField numFmtId="164" showAll="0"/>
    <pivotField dataField="1"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showAll="0"/>
  </pivotFields>
  <rowItems count="1">
    <i/>
  </rowItems>
  <colItems count="1">
    <i/>
  </colItems>
  <dataFields count="1">
    <dataField name="Sum of Total Reven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6A7412-3D86-4D4E-A43C-E264488E95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0:I14" firstHeaderRow="1" firstDataRow="1" firstDataCol="1"/>
  <pivotFields count="16">
    <pivotField showAll="0"/>
    <pivotField showAll="0">
      <items count="5">
        <item x="3"/>
        <item x="1"/>
        <item x="0"/>
        <item x="2"/>
        <item t="default"/>
      </items>
    </pivotField>
    <pivotField axis="axisRow" showAll="0" measureFilter="1">
      <items count="9">
        <item x="6"/>
        <item x="2"/>
        <item x="7"/>
        <item x="4"/>
        <item x="5"/>
        <item x="0"/>
        <item x="3"/>
        <item x="1"/>
        <item t="default"/>
      </items>
    </pivotField>
    <pivotField showAll="0">
      <items count="5">
        <item x="0"/>
        <item x="2"/>
        <item x="1"/>
        <item x="3"/>
        <item t="default"/>
      </items>
    </pivotField>
    <pivotField showAll="0"/>
    <pivotField showAll="0"/>
    <pivotField numFmtId="164" showAll="0"/>
    <pivotField dataField="1"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showAll="0"/>
  </pivotFields>
  <rowFields count="1">
    <field x="2"/>
  </rowFields>
  <rowItems count="4">
    <i>
      <x v="1"/>
    </i>
    <i>
      <x v="5"/>
    </i>
    <i>
      <x v="6"/>
    </i>
    <i t="grand">
      <x/>
    </i>
  </rowItems>
  <colItems count="1">
    <i/>
  </colItems>
  <dataFields count="1">
    <dataField name="Sum of Total Revenue" fld="7" baseField="0" baseItem="0" numFmtId="164"/>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EEA2C8-64FC-4B06-9E67-11260CD659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rowPageCount="1" colPageCount="1"/>
  <pivotFields count="16">
    <pivotField showAll="0"/>
    <pivotField showAll="0">
      <items count="5">
        <item x="3"/>
        <item x="1"/>
        <item x="0"/>
        <item x="2"/>
        <item t="default"/>
      </items>
    </pivotField>
    <pivotField showAll="0"/>
    <pivotField showAll="0">
      <items count="5">
        <item x="0"/>
        <item x="2"/>
        <item x="1"/>
        <item x="3"/>
        <item t="default"/>
      </items>
    </pivotField>
    <pivotField showAll="0"/>
    <pivotField showAll="0"/>
    <pivotField numFmtId="164" showAll="0"/>
    <pivotField dataField="1" numFmtId="164" showAll="0"/>
    <pivotField showAll="0"/>
    <pivotField axis="axisRow" showAll="0">
      <items count="4">
        <item x="2"/>
        <item x="1"/>
        <item x="0"/>
        <item t="default"/>
      </items>
    </pivotField>
    <pivotField showAll="0"/>
    <pivotField axis="axisPage" showAll="0">
      <items count="13">
        <item x="8"/>
        <item x="3"/>
        <item x="1"/>
        <item x="0"/>
        <item x="4"/>
        <item x="5"/>
        <item x="2"/>
        <item x="10"/>
        <item x="7"/>
        <item x="9"/>
        <item x="6"/>
        <item x="11"/>
        <item t="default"/>
      </items>
    </pivotField>
    <pivotField numFmtId="14" showAll="0"/>
    <pivotField numFmtId="14" showAll="0"/>
    <pivotField showAll="0"/>
    <pivotField showAll="0"/>
  </pivotFields>
  <rowFields count="1">
    <field x="9"/>
  </rowFields>
  <rowItems count="4">
    <i>
      <x/>
    </i>
    <i>
      <x v="1"/>
    </i>
    <i>
      <x v="2"/>
    </i>
    <i t="grand">
      <x/>
    </i>
  </rowItems>
  <colItems count="1">
    <i/>
  </colItems>
  <pageFields count="1">
    <pageField fld="11" hier="-1"/>
  </pageFields>
  <dataFields count="1">
    <dataField name="Sum of Total Revenue" fld="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077781-C84F-488E-B9D6-94DA129B926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9:E22" firstHeaderRow="1" firstDataRow="1" firstDataCol="1"/>
  <pivotFields count="16">
    <pivotField showAll="0"/>
    <pivotField showAll="0">
      <items count="5">
        <item x="3"/>
        <item x="1"/>
        <item x="0"/>
        <item x="2"/>
        <item t="default"/>
      </items>
    </pivotField>
    <pivotField showAll="0"/>
    <pivotField showAll="0">
      <items count="5">
        <item x="0"/>
        <item x="2"/>
        <item x="1"/>
        <item x="3"/>
        <item t="default"/>
      </items>
    </pivotField>
    <pivotField showAll="0"/>
    <pivotField showAll="0"/>
    <pivotField numFmtId="164" showAll="0"/>
    <pivotField dataField="1" numFmtId="164" showAll="0"/>
    <pivotField axis="axisRow" showAll="0">
      <items count="3">
        <item x="0"/>
        <item x="1"/>
        <item t="default"/>
      </items>
    </pivotField>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showAll="0"/>
  </pivotFields>
  <rowFields count="1">
    <field x="8"/>
  </rowFields>
  <rowItems count="3">
    <i>
      <x/>
    </i>
    <i>
      <x v="1"/>
    </i>
    <i t="grand">
      <x/>
    </i>
  </rowItems>
  <colItems count="1">
    <i/>
  </colItems>
  <dataFields count="1">
    <dataField name="Sum of Total Revenue" fld="7" baseField="0" baseItem="0" numFmtId="164"/>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8C1826-BCA6-483E-8893-0919D4D7F2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6">
    <pivotField showAll="0"/>
    <pivotField showAll="0">
      <items count="5">
        <item x="3"/>
        <item x="1"/>
        <item x="0"/>
        <item x="2"/>
        <item t="default"/>
      </items>
    </pivotField>
    <pivotField showAll="0"/>
    <pivotField axis="axisRow" showAll="0">
      <items count="5">
        <item x="0"/>
        <item x="2"/>
        <item x="1"/>
        <item x="3"/>
        <item t="default"/>
      </items>
    </pivotField>
    <pivotField showAll="0"/>
    <pivotField showAll="0"/>
    <pivotField numFmtId="164" showAll="0"/>
    <pivotField dataField="1"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showAll="0"/>
  </pivotFields>
  <rowFields count="1">
    <field x="3"/>
  </rowFields>
  <rowItems count="5">
    <i>
      <x/>
    </i>
    <i>
      <x v="1"/>
    </i>
    <i>
      <x v="2"/>
    </i>
    <i>
      <x v="3"/>
    </i>
    <i t="grand">
      <x/>
    </i>
  </rowItems>
  <colItems count="1">
    <i/>
  </colItems>
  <dataFields count="1">
    <dataField name="Sum of Total Revenue" fld="7" baseField="0" baseItem="0" numFmtId="164"/>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C43C91-9369-4182-8F06-6D3B07195F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16">
    <pivotField showAll="0"/>
    <pivotField axis="axisRow" showAll="0">
      <items count="5">
        <item x="3"/>
        <item x="1"/>
        <item x="0"/>
        <item x="2"/>
        <item t="default"/>
      </items>
    </pivotField>
    <pivotField showAll="0"/>
    <pivotField showAll="0">
      <items count="5">
        <item x="0"/>
        <item x="2"/>
        <item x="1"/>
        <item x="3"/>
        <item t="default"/>
      </items>
    </pivotField>
    <pivotField showAll="0"/>
    <pivotField showAll="0"/>
    <pivotField numFmtId="164" showAll="0"/>
    <pivotField dataField="1" numFmtId="164" showAll="0"/>
    <pivotField showAll="0"/>
    <pivotField showAll="0"/>
    <pivotField showAll="0"/>
    <pivotField showAll="0">
      <items count="13">
        <item x="8"/>
        <item x="3"/>
        <item x="1"/>
        <item x="0"/>
        <item x="4"/>
        <item x="5"/>
        <item x="2"/>
        <item x="10"/>
        <item x="7"/>
        <item x="9"/>
        <item x="6"/>
        <item x="11"/>
        <item t="default"/>
      </items>
    </pivotField>
    <pivotField numFmtId="14" showAll="0"/>
    <pivotField numFmtId="14" showAll="0"/>
    <pivotField showAll="0"/>
    <pivotField showAll="0"/>
  </pivotFields>
  <rowFields count="1">
    <field x="1"/>
  </rowFields>
  <rowItems count="5">
    <i>
      <x/>
    </i>
    <i>
      <x v="1"/>
    </i>
    <i>
      <x v="2"/>
    </i>
    <i>
      <x v="3"/>
    </i>
    <i t="grand">
      <x/>
    </i>
  </rowItems>
  <colItems count="1">
    <i/>
  </colItems>
  <dataFields count="1">
    <dataField name="Sum of Total Revenue" fld="7" baseField="0" baseItem="0" numFmtId="164"/>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FB5ED5-20FA-49C7-80E4-E744CEE90CD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27" firstHeaderRow="1" firstDataRow="1" firstDataCol="1"/>
  <pivotFields count="16">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5">
        <item x="3"/>
        <item x="1"/>
        <item x="0"/>
        <item x="2"/>
        <item t="default"/>
      </items>
    </pivotField>
    <pivotField showAll="0"/>
    <pivotField showAll="0">
      <items count="5">
        <item x="0"/>
        <item x="2"/>
        <item x="1"/>
        <item x="3"/>
        <item t="default"/>
      </items>
    </pivotField>
    <pivotField showAll="0"/>
    <pivotField showAll="0"/>
    <pivotField numFmtId="164" showAll="0"/>
    <pivotField dataField="1" numFmtId="164" showAll="0"/>
    <pivotField showAll="0"/>
    <pivotField showAll="0"/>
    <pivotField showAll="0"/>
    <pivotField axis="axisRow" showAll="0">
      <items count="13">
        <item x="8"/>
        <item x="3"/>
        <item x="1"/>
        <item x="0"/>
        <item x="4"/>
        <item x="5"/>
        <item x="2"/>
        <item x="10"/>
        <item x="7"/>
        <item x="9"/>
        <item x="6"/>
        <item x="11"/>
        <item t="default"/>
      </items>
    </pivotField>
    <pivotField numFmtId="14" showAll="0"/>
    <pivotField numFmtId="14"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 Revenue" fld="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41C666-B465-4EDB-A1AA-975AC0854088}" sourceName="Region">
  <pivotTables>
    <pivotTable tabId="2" name="PivotTable3"/>
    <pivotTable tabId="2" name="PivotTable1"/>
    <pivotTable tabId="2" name="PivotTable10"/>
    <pivotTable tabId="2" name="PivotTable11"/>
    <pivotTable tabId="2" name="PivotTable12"/>
    <pivotTable tabId="2" name="PivotTable2"/>
    <pivotTable tabId="2" name="PivotTable4"/>
    <pivotTable tabId="2" name="PivotTable5"/>
    <pivotTable tabId="2" name="PivotTable6"/>
    <pivotTable tabId="2" name="PivotTable7"/>
    <pivotTable tabId="2" name="PivotTable8"/>
    <pivotTable tabId="2" name="PivotTable9"/>
  </pivotTables>
  <data>
    <tabular pivotCacheId="128593918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07549412-04BA-414C-B085-43A3276AA2B7}" sourceName="Order Month">
  <pivotTables>
    <pivotTable tabId="2" name="PivotTable3"/>
    <pivotTable tabId="2" name="PivotTable1"/>
    <pivotTable tabId="2" name="PivotTable10"/>
    <pivotTable tabId="2" name="PivotTable11"/>
    <pivotTable tabId="2" name="PivotTable12"/>
    <pivotTable tabId="2" name="PivotTable2"/>
    <pivotTable tabId="2" name="PivotTable4"/>
    <pivotTable tabId="2" name="PivotTable5"/>
    <pivotTable tabId="2" name="PivotTable6"/>
    <pivotTable tabId="2" name="PivotTable7"/>
    <pivotTable tabId="2" name="PivotTable8"/>
    <pivotTable tabId="2" name="PivotTable9"/>
  </pivotTables>
  <data>
    <tabular pivotCacheId="1285939189">
      <items count="12">
        <i x="8" s="1"/>
        <i x="3" s="1"/>
        <i x="1" s="1"/>
        <i x="0" s="1"/>
        <i x="4" s="1"/>
        <i x="5" s="1"/>
        <i x="2" s="1"/>
        <i x="10" s="1"/>
        <i x="7" s="1"/>
        <i x="9" s="1"/>
        <i x="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4AB078-7C04-40E2-B88E-AF73A7C4A4BC}" cache="Slicer_Region" caption="Region" style="SlicerStyleDark1" rowHeight="247650"/>
  <slicer name="Order Month" xr10:uid="{B4E8AC0D-2143-4436-8065-2E779D9EEC97}" cache="Slicer_Order_Month" caption="Month" startItem="10"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DE4E03-9E31-4F9E-B816-E7E6B45D1975}" name="Sales_Data" displayName="Sales_Data" ref="A1:P501" totalsRowShown="0">
  <autoFilter ref="A1:P501" xr:uid="{0DDE4E03-9E31-4F9E-B816-E7E6B45D1975}"/>
  <tableColumns count="16">
    <tableColumn id="1" xr3:uid="{A4CF8E42-44AD-48C0-9E62-5268054E85DB}" name="Order ID"/>
    <tableColumn id="2" xr3:uid="{CADCDC07-3012-43D7-A227-189243F97F8C}" name="Region"/>
    <tableColumn id="3" xr3:uid="{7D03C22C-151E-407C-9BFB-679D52121B58}" name="Salesperson"/>
    <tableColumn id="4" xr3:uid="{46C21536-26EA-4C3A-BE11-31F908D690CC}" name="Product Category"/>
    <tableColumn id="5" xr3:uid="{AECC5E45-A373-481C-B105-3CEC8A720F16}" name="Product"/>
    <tableColumn id="6" xr3:uid="{FAF5AC62-A5A9-4F32-998F-16965AF080A2}" name="Units Sold"/>
    <tableColumn id="7" xr3:uid="{99A869DC-E4F5-4C69-B500-A10EA4A3E952}" name="Unit Price" dataDxfId="8" dataCellStyle="Currency"/>
    <tableColumn id="8" xr3:uid="{A0B90A83-7901-42B3-8F35-C278EDB11658}" name="Total Revenue" dataDxfId="7" dataCellStyle="Currency"/>
    <tableColumn id="9" xr3:uid="{60500EE8-07DB-4FD1-A706-C97BB76AFEB8}" name="Customer Type"/>
    <tableColumn id="10" xr3:uid="{890600C3-EE8A-4FF1-A797-48B115ECEDDA}" name="Payment Method"/>
    <tableColumn id="11" xr3:uid="{AFE8EDA7-8185-4ADA-9BA7-0415C9C2B6BC}" name="Order Year" dataDxfId="6">
      <calculatedColumnFormula>TEXT(Sales_Data[[#This Row],[Order Date]],"yyyy")</calculatedColumnFormula>
    </tableColumn>
    <tableColumn id="14" xr3:uid="{B202E503-819C-465C-840C-54888C2E29EE}" name="Order Month" dataDxfId="5">
      <calculatedColumnFormula>TEXT(Sales_Data[[#This Row],[Order Date]],"mmmm")</calculatedColumnFormula>
    </tableColumn>
    <tableColumn id="12" xr3:uid="{FDCF07AC-51C9-4C08-B473-33691877F2C1}" name="Order Date" dataDxfId="4"/>
    <tableColumn id="13" xr3:uid="{3B94848D-CB15-492A-A588-59F28170313C}" name="Date of Birth" dataDxfId="3"/>
    <tableColumn id="15" xr3:uid="{A2C34D11-D95E-4115-99F5-83DC87EA1848}" name="Age " dataDxfId="2">
      <calculatedColumnFormula>DATEDIF(Sales_Data[[#This Row],[Date of Birth]],Sales_Data[[#This Row],[Order Date]],"y")</calculatedColumnFormula>
    </tableColumn>
    <tableColumn id="16" xr3:uid="{CDBCD3AB-1BF0-45CA-B14D-7C04B1F7E304}" name="Age Group" dataDxfId="1">
      <calculatedColumnFormula array="1">_xlfn.IFS(Sales_Data[[#This Row],[Age ]]&lt;=30,"Young Adult",Sales_Data[[#This Row],[Age ]]&lt;=45,"Senior",Sales_Data[[#This Row],[Age ]]&lt;=60,"Adult",Sales_Data[[#This Row],[Age ]]&gt;=61,"Elderly")</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7019-95DC-4DF3-ACB0-63AC127B475F}">
  <dimension ref="A1:P501"/>
  <sheetViews>
    <sheetView topLeftCell="D2" workbookViewId="0">
      <selection activeCell="R11" sqref="R11"/>
    </sheetView>
  </sheetViews>
  <sheetFormatPr defaultRowHeight="14.4" x14ac:dyDescent="0.3"/>
  <cols>
    <col min="1" max="1" width="9.77734375" customWidth="1"/>
    <col min="3" max="3" width="13.109375" customWidth="1"/>
    <col min="4" max="4" width="17.109375" customWidth="1"/>
    <col min="5" max="5" width="9.44140625" customWidth="1"/>
    <col min="6" max="6" width="11.33203125" customWidth="1"/>
    <col min="7" max="7" width="11" customWidth="1"/>
    <col min="8" max="8" width="14.6640625" bestFit="1" customWidth="1"/>
    <col min="9" max="9" width="15.21875" customWidth="1"/>
    <col min="10" max="10" width="16.77734375" customWidth="1"/>
    <col min="11" max="12" width="14.44140625" customWidth="1"/>
    <col min="13" max="13" width="11.88671875" customWidth="1"/>
    <col min="14" max="14" width="13" customWidth="1"/>
    <col min="16" max="16" width="11.6640625" bestFit="1" customWidth="1"/>
  </cols>
  <sheetData>
    <row r="1" spans="1:16" x14ac:dyDescent="0.3">
      <c r="A1" t="s">
        <v>0</v>
      </c>
      <c r="B1" t="s">
        <v>1</v>
      </c>
      <c r="C1" t="s">
        <v>2</v>
      </c>
      <c r="D1" t="s">
        <v>4</v>
      </c>
      <c r="E1" t="s">
        <v>5</v>
      </c>
      <c r="F1" t="s">
        <v>6</v>
      </c>
      <c r="G1" t="s">
        <v>7</v>
      </c>
      <c r="H1" t="s">
        <v>556</v>
      </c>
      <c r="I1" t="s">
        <v>8</v>
      </c>
      <c r="J1" t="s">
        <v>9</v>
      </c>
      <c r="K1" t="s">
        <v>552</v>
      </c>
      <c r="L1" t="s">
        <v>553</v>
      </c>
      <c r="M1" t="s">
        <v>551</v>
      </c>
      <c r="N1" t="s">
        <v>3</v>
      </c>
      <c r="O1" t="s">
        <v>554</v>
      </c>
      <c r="P1" t="s">
        <v>555</v>
      </c>
    </row>
    <row r="2" spans="1:16" x14ac:dyDescent="0.3">
      <c r="A2" t="s">
        <v>10</v>
      </c>
      <c r="B2" t="s">
        <v>11</v>
      </c>
      <c r="C2" t="s">
        <v>12</v>
      </c>
      <c r="D2" t="s">
        <v>13</v>
      </c>
      <c r="E2" t="s">
        <v>14</v>
      </c>
      <c r="F2">
        <v>48</v>
      </c>
      <c r="G2" s="2">
        <v>663</v>
      </c>
      <c r="H2" s="2">
        <v>31824</v>
      </c>
      <c r="I2" t="s">
        <v>15</v>
      </c>
      <c r="J2" t="s">
        <v>16</v>
      </c>
      <c r="K2" t="str">
        <f>TEXT(Sales_Data[[#This Row],[Order Date]],"yyyy")</f>
        <v>2026</v>
      </c>
      <c r="L2" t="str">
        <f>TEXT(Sales_Data[[#This Row],[Order Date]],"mmmm")</f>
        <v>April</v>
      </c>
      <c r="M2" s="1">
        <v>46120</v>
      </c>
      <c r="N2" s="1">
        <v>34219</v>
      </c>
      <c r="O2">
        <f>DATEDIF(Sales_Data[[#This Row],[Date of Birth]],Sales_Data[[#This Row],[Order Date]],"y")</f>
        <v>32</v>
      </c>
      <c r="P2" t="str" cm="1">
        <f t="array" ref="P2">_xlfn.IFS(Sales_Data[[#This Row],[Age ]]&lt;=30,"Young Adult",Sales_Data[[#This Row],[Age ]]&lt;=45,"Senior",Sales_Data[[#This Row],[Age ]]&lt;=60,"Adult",Sales_Data[[#This Row],[Age ]]&gt;=61,"Elderly")</f>
        <v>Senior</v>
      </c>
    </row>
    <row r="3" spans="1:16" x14ac:dyDescent="0.3">
      <c r="A3" t="s">
        <v>17</v>
      </c>
      <c r="B3" t="s">
        <v>18</v>
      </c>
      <c r="C3" t="s">
        <v>19</v>
      </c>
      <c r="D3" t="s">
        <v>20</v>
      </c>
      <c r="E3" t="s">
        <v>21</v>
      </c>
      <c r="F3">
        <v>2</v>
      </c>
      <c r="G3" s="2">
        <v>271</v>
      </c>
      <c r="H3" s="2">
        <v>542</v>
      </c>
      <c r="I3" t="s">
        <v>22</v>
      </c>
      <c r="J3" t="s">
        <v>23</v>
      </c>
      <c r="K3" t="str">
        <f>TEXT(Sales_Data[[#This Row],[Order Date]],"yyyy")</f>
        <v>2026</v>
      </c>
      <c r="L3" t="str">
        <f>TEXT(Sales_Data[[#This Row],[Order Date]],"mmmm")</f>
        <v>April</v>
      </c>
      <c r="M3" s="1">
        <v>46120</v>
      </c>
      <c r="N3" s="1">
        <v>25567</v>
      </c>
      <c r="O3">
        <f>DATEDIF(Sales_Data[[#This Row],[Date of Birth]],Sales_Data[[#This Row],[Order Date]],"y")</f>
        <v>56</v>
      </c>
      <c r="P3" t="str" cm="1">
        <f t="array" ref="P3">_xlfn.IFS(Sales_Data[[#This Row],[Age ]]&lt;=30,"Young Adult",Sales_Data[[#This Row],[Age ]]&lt;=45,"Senior",Sales_Data[[#This Row],[Age ]]&lt;=60,"Adult",Sales_Data[[#This Row],[Age ]]&gt;=61,"Elderly")</f>
        <v>Adult</v>
      </c>
    </row>
    <row r="4" spans="1:16" x14ac:dyDescent="0.3">
      <c r="A4" t="s">
        <v>24</v>
      </c>
      <c r="B4" t="s">
        <v>25</v>
      </c>
      <c r="C4" t="s">
        <v>26</v>
      </c>
      <c r="D4" t="s">
        <v>20</v>
      </c>
      <c r="E4" t="s">
        <v>27</v>
      </c>
      <c r="F4">
        <v>18</v>
      </c>
      <c r="G4" s="2">
        <v>93</v>
      </c>
      <c r="H4" s="2">
        <v>1674</v>
      </c>
      <c r="I4" t="s">
        <v>22</v>
      </c>
      <c r="J4" t="s">
        <v>23</v>
      </c>
      <c r="K4" t="str">
        <f>TEXT(Sales_Data[[#This Row],[Order Date]],"yyyy")</f>
        <v>2026</v>
      </c>
      <c r="L4" t="str">
        <f>TEXT(Sales_Data[[#This Row],[Order Date]],"mmmm")</f>
        <v>March</v>
      </c>
      <c r="M4" s="1">
        <v>46104</v>
      </c>
      <c r="N4" s="1">
        <v>24152</v>
      </c>
      <c r="O4">
        <f>DATEDIF(Sales_Data[[#This Row],[Date of Birth]],Sales_Data[[#This Row],[Order Date]],"y")</f>
        <v>60</v>
      </c>
      <c r="P4" t="str" cm="1">
        <f t="array" ref="P4">_xlfn.IFS(Sales_Data[[#This Row],[Age ]]&lt;=30,"Young Adult",Sales_Data[[#This Row],[Age ]]&lt;=45,"Senior",Sales_Data[[#This Row],[Age ]]&lt;=60,"Adult",Sales_Data[[#This Row],[Age ]]&gt;=61,"Elderly")</f>
        <v>Adult</v>
      </c>
    </row>
    <row r="5" spans="1:16" x14ac:dyDescent="0.3">
      <c r="A5" t="s">
        <v>28</v>
      </c>
      <c r="B5" t="s">
        <v>29</v>
      </c>
      <c r="C5" t="s">
        <v>26</v>
      </c>
      <c r="D5" t="s">
        <v>30</v>
      </c>
      <c r="E5" t="s">
        <v>31</v>
      </c>
      <c r="F5">
        <v>7</v>
      </c>
      <c r="G5" s="2">
        <v>144</v>
      </c>
      <c r="H5" s="2">
        <v>1008</v>
      </c>
      <c r="I5" t="s">
        <v>22</v>
      </c>
      <c r="J5" t="s">
        <v>23</v>
      </c>
      <c r="K5" t="str">
        <f>TEXT(Sales_Data[[#This Row],[Order Date]],"yyyy")</f>
        <v>2026</v>
      </c>
      <c r="L5" t="str">
        <f>TEXT(Sales_Data[[#This Row],[Order Date]],"mmmm")</f>
        <v>July</v>
      </c>
      <c r="M5" s="1">
        <v>46207</v>
      </c>
      <c r="N5" s="1">
        <v>35892</v>
      </c>
      <c r="O5">
        <f>DATEDIF(Sales_Data[[#This Row],[Date of Birth]],Sales_Data[[#This Row],[Order Date]],"y")</f>
        <v>28</v>
      </c>
      <c r="P5" t="str" cm="1">
        <f t="array" ref="P5">_xlfn.IFS(Sales_Data[[#This Row],[Age ]]&lt;=30,"Young Adult",Sales_Data[[#This Row],[Age ]]&lt;=45,"Senior",Sales_Data[[#This Row],[Age ]]&lt;=60,"Adult",Sales_Data[[#This Row],[Age ]]&gt;=61,"Elderly")</f>
        <v>Young Adult</v>
      </c>
    </row>
    <row r="6" spans="1:16" x14ac:dyDescent="0.3">
      <c r="A6" t="s">
        <v>32</v>
      </c>
      <c r="B6" t="s">
        <v>29</v>
      </c>
      <c r="C6" t="s">
        <v>26</v>
      </c>
      <c r="D6" t="s">
        <v>20</v>
      </c>
      <c r="E6" t="s">
        <v>27</v>
      </c>
      <c r="F6">
        <v>8</v>
      </c>
      <c r="G6" s="2">
        <v>855</v>
      </c>
      <c r="H6" s="2">
        <v>6840</v>
      </c>
      <c r="I6" t="s">
        <v>15</v>
      </c>
      <c r="J6" t="s">
        <v>16</v>
      </c>
      <c r="K6" t="str">
        <f>TEXT(Sales_Data[[#This Row],[Order Date]],"yyyy")</f>
        <v>2026</v>
      </c>
      <c r="L6" t="str">
        <f>TEXT(Sales_Data[[#This Row],[Order Date]],"mmmm")</f>
        <v>February</v>
      </c>
      <c r="M6" s="1">
        <v>46071</v>
      </c>
      <c r="N6" s="1">
        <v>28249</v>
      </c>
      <c r="O6">
        <f>DATEDIF(Sales_Data[[#This Row],[Date of Birth]],Sales_Data[[#This Row],[Order Date]],"y")</f>
        <v>48</v>
      </c>
      <c r="P6" t="str" cm="1">
        <f t="array" ref="P6">_xlfn.IFS(Sales_Data[[#This Row],[Age ]]&lt;=30,"Young Adult",Sales_Data[[#This Row],[Age ]]&lt;=45,"Senior",Sales_Data[[#This Row],[Age ]]&lt;=60,"Adult",Sales_Data[[#This Row],[Age ]]&gt;=61,"Elderly")</f>
        <v>Adult</v>
      </c>
    </row>
    <row r="7" spans="1:16" x14ac:dyDescent="0.3">
      <c r="A7" t="s">
        <v>33</v>
      </c>
      <c r="B7" t="s">
        <v>11</v>
      </c>
      <c r="C7" t="s">
        <v>12</v>
      </c>
      <c r="D7" t="s">
        <v>13</v>
      </c>
      <c r="E7" t="s">
        <v>14</v>
      </c>
      <c r="F7">
        <v>43</v>
      </c>
      <c r="G7" s="2">
        <v>566</v>
      </c>
      <c r="H7" s="2">
        <v>24338</v>
      </c>
      <c r="I7" t="s">
        <v>22</v>
      </c>
      <c r="J7" t="s">
        <v>34</v>
      </c>
      <c r="K7" t="str">
        <f>TEXT(Sales_Data[[#This Row],[Order Date]],"yyyy")</f>
        <v>2026</v>
      </c>
      <c r="L7" t="str">
        <f>TEXT(Sales_Data[[#This Row],[Order Date]],"mmmm")</f>
        <v>May</v>
      </c>
      <c r="M7" s="1">
        <v>46145</v>
      </c>
      <c r="N7" s="1">
        <v>27755</v>
      </c>
      <c r="O7">
        <f>DATEDIF(Sales_Data[[#This Row],[Date of Birth]],Sales_Data[[#This Row],[Order Date]],"y")</f>
        <v>50</v>
      </c>
      <c r="P7" t="str" cm="1">
        <f t="array" ref="P7">_xlfn.IFS(Sales_Data[[#This Row],[Age ]]&lt;=30,"Young Adult",Sales_Data[[#This Row],[Age ]]&lt;=45,"Senior",Sales_Data[[#This Row],[Age ]]&lt;=60,"Adult",Sales_Data[[#This Row],[Age ]]&gt;=61,"Elderly")</f>
        <v>Adult</v>
      </c>
    </row>
    <row r="8" spans="1:16" x14ac:dyDescent="0.3">
      <c r="A8" t="s">
        <v>35</v>
      </c>
      <c r="B8" t="s">
        <v>29</v>
      </c>
      <c r="C8" t="s">
        <v>12</v>
      </c>
      <c r="D8" t="s">
        <v>20</v>
      </c>
      <c r="E8" t="s">
        <v>36</v>
      </c>
      <c r="F8">
        <v>11</v>
      </c>
      <c r="G8" s="2">
        <v>838</v>
      </c>
      <c r="H8" s="2">
        <v>9218</v>
      </c>
      <c r="I8" t="s">
        <v>15</v>
      </c>
      <c r="J8" t="s">
        <v>16</v>
      </c>
      <c r="K8" t="str">
        <f>TEXT(Sales_Data[[#This Row],[Order Date]],"yyyy")</f>
        <v>2026</v>
      </c>
      <c r="L8" t="str">
        <f>TEXT(Sales_Data[[#This Row],[Order Date]],"mmmm")</f>
        <v>June</v>
      </c>
      <c r="M8" s="1">
        <v>46180</v>
      </c>
      <c r="N8" s="1">
        <v>27400</v>
      </c>
      <c r="O8">
        <f>DATEDIF(Sales_Data[[#This Row],[Date of Birth]],Sales_Data[[#This Row],[Order Date]],"y")</f>
        <v>51</v>
      </c>
      <c r="P8" t="str" cm="1">
        <f t="array" ref="P8">_xlfn.IFS(Sales_Data[[#This Row],[Age ]]&lt;=30,"Young Adult",Sales_Data[[#This Row],[Age ]]&lt;=45,"Senior",Sales_Data[[#This Row],[Age ]]&lt;=60,"Adult",Sales_Data[[#This Row],[Age ]]&gt;=61,"Elderly")</f>
        <v>Adult</v>
      </c>
    </row>
    <row r="9" spans="1:16" x14ac:dyDescent="0.3">
      <c r="A9" t="s">
        <v>37</v>
      </c>
      <c r="B9" t="s">
        <v>11</v>
      </c>
      <c r="C9" t="s">
        <v>26</v>
      </c>
      <c r="D9" t="s">
        <v>30</v>
      </c>
      <c r="E9" t="s">
        <v>38</v>
      </c>
      <c r="F9">
        <v>30</v>
      </c>
      <c r="G9" s="2">
        <v>438</v>
      </c>
      <c r="H9" s="2">
        <v>13140</v>
      </c>
      <c r="I9" t="s">
        <v>15</v>
      </c>
      <c r="J9" t="s">
        <v>23</v>
      </c>
      <c r="K9" t="str">
        <f>TEXT(Sales_Data[[#This Row],[Order Date]],"yyyy")</f>
        <v>2026</v>
      </c>
      <c r="L9" t="str">
        <f>TEXT(Sales_Data[[#This Row],[Order Date]],"mmmm")</f>
        <v>May</v>
      </c>
      <c r="M9" s="1">
        <v>46163</v>
      </c>
      <c r="N9" s="1">
        <v>26029</v>
      </c>
      <c r="O9">
        <f>DATEDIF(Sales_Data[[#This Row],[Date of Birth]],Sales_Data[[#This Row],[Order Date]],"y")</f>
        <v>55</v>
      </c>
      <c r="P9" t="str" cm="1">
        <f t="array" ref="P9">_xlfn.IFS(Sales_Data[[#This Row],[Age ]]&lt;=30,"Young Adult",Sales_Data[[#This Row],[Age ]]&lt;=45,"Senior",Sales_Data[[#This Row],[Age ]]&lt;=60,"Adult",Sales_Data[[#This Row],[Age ]]&gt;=61,"Elderly")</f>
        <v>Adult</v>
      </c>
    </row>
    <row r="10" spans="1:16" x14ac:dyDescent="0.3">
      <c r="A10" t="s">
        <v>39</v>
      </c>
      <c r="B10" t="s">
        <v>29</v>
      </c>
      <c r="C10" t="s">
        <v>19</v>
      </c>
      <c r="D10" t="s">
        <v>13</v>
      </c>
      <c r="E10" t="s">
        <v>40</v>
      </c>
      <c r="F10">
        <v>26</v>
      </c>
      <c r="G10" s="2">
        <v>648</v>
      </c>
      <c r="H10" s="2">
        <v>16848</v>
      </c>
      <c r="I10" t="s">
        <v>22</v>
      </c>
      <c r="J10" t="s">
        <v>34</v>
      </c>
      <c r="K10" t="str">
        <f>TEXT(Sales_Data[[#This Row],[Order Date]],"yyyy")</f>
        <v>2026</v>
      </c>
      <c r="L10" t="str">
        <f>TEXT(Sales_Data[[#This Row],[Order Date]],"mmmm")</f>
        <v>February</v>
      </c>
      <c r="M10" s="1">
        <v>46060</v>
      </c>
      <c r="N10" s="1">
        <v>35809</v>
      </c>
      <c r="O10">
        <f>DATEDIF(Sales_Data[[#This Row],[Date of Birth]],Sales_Data[[#This Row],[Order Date]],"y")</f>
        <v>28</v>
      </c>
      <c r="P10" t="str" cm="1">
        <f t="array" ref="P10">_xlfn.IFS(Sales_Data[[#This Row],[Age ]]&lt;=30,"Young Adult",Sales_Data[[#This Row],[Age ]]&lt;=45,"Senior",Sales_Data[[#This Row],[Age ]]&lt;=60,"Adult",Sales_Data[[#This Row],[Age ]]&gt;=61,"Elderly")</f>
        <v>Young Adult</v>
      </c>
    </row>
    <row r="11" spans="1:16" x14ac:dyDescent="0.3">
      <c r="A11" t="s">
        <v>41</v>
      </c>
      <c r="B11" t="s">
        <v>29</v>
      </c>
      <c r="C11" t="s">
        <v>42</v>
      </c>
      <c r="D11" t="s">
        <v>20</v>
      </c>
      <c r="E11" t="s">
        <v>43</v>
      </c>
      <c r="F11">
        <v>17</v>
      </c>
      <c r="G11" s="2">
        <v>365</v>
      </c>
      <c r="H11" s="2">
        <v>6205</v>
      </c>
      <c r="I11" t="s">
        <v>22</v>
      </c>
      <c r="J11" t="s">
        <v>34</v>
      </c>
      <c r="K11" t="str">
        <f>TEXT(Sales_Data[[#This Row],[Order Date]],"yyyy")</f>
        <v>2026</v>
      </c>
      <c r="L11" t="str">
        <f>TEXT(Sales_Data[[#This Row],[Order Date]],"mmmm")</f>
        <v>April</v>
      </c>
      <c r="M11" s="1">
        <v>46136</v>
      </c>
      <c r="N11" s="1">
        <v>25422</v>
      </c>
      <c r="O11">
        <f>DATEDIF(Sales_Data[[#This Row],[Date of Birth]],Sales_Data[[#This Row],[Order Date]],"y")</f>
        <v>56</v>
      </c>
      <c r="P11" t="str" cm="1">
        <f t="array" ref="P11">_xlfn.IFS(Sales_Data[[#This Row],[Age ]]&lt;=30,"Young Adult",Sales_Data[[#This Row],[Age ]]&lt;=45,"Senior",Sales_Data[[#This Row],[Age ]]&lt;=60,"Adult",Sales_Data[[#This Row],[Age ]]&gt;=61,"Elderly")</f>
        <v>Adult</v>
      </c>
    </row>
    <row r="12" spans="1:16" x14ac:dyDescent="0.3">
      <c r="A12" t="s">
        <v>44</v>
      </c>
      <c r="B12" t="s">
        <v>18</v>
      </c>
      <c r="C12" t="s">
        <v>12</v>
      </c>
      <c r="D12" t="s">
        <v>30</v>
      </c>
      <c r="E12" t="s">
        <v>38</v>
      </c>
      <c r="F12">
        <v>33</v>
      </c>
      <c r="G12" s="2">
        <v>555</v>
      </c>
      <c r="H12" s="2">
        <v>18315</v>
      </c>
      <c r="I12" t="s">
        <v>15</v>
      </c>
      <c r="J12" t="s">
        <v>16</v>
      </c>
      <c r="K12" t="str">
        <f>TEXT(Sales_Data[[#This Row],[Order Date]],"yyyy")</f>
        <v>2026</v>
      </c>
      <c r="L12" t="str">
        <f>TEXT(Sales_Data[[#This Row],[Order Date]],"mmmm")</f>
        <v>February</v>
      </c>
      <c r="M12" s="1">
        <v>46078</v>
      </c>
      <c r="N12" s="1">
        <v>34830</v>
      </c>
      <c r="O12">
        <f>DATEDIF(Sales_Data[[#This Row],[Date of Birth]],Sales_Data[[#This Row],[Order Date]],"y")</f>
        <v>30</v>
      </c>
      <c r="P12" t="str" cm="1">
        <f t="array" ref="P12">_xlfn.IFS(Sales_Data[[#This Row],[Age ]]&lt;=30,"Young Adult",Sales_Data[[#This Row],[Age ]]&lt;=45,"Senior",Sales_Data[[#This Row],[Age ]]&lt;=60,"Adult",Sales_Data[[#This Row],[Age ]]&gt;=61,"Elderly")</f>
        <v>Young Adult</v>
      </c>
    </row>
    <row r="13" spans="1:16" x14ac:dyDescent="0.3">
      <c r="A13" t="s">
        <v>45</v>
      </c>
      <c r="B13" t="s">
        <v>25</v>
      </c>
      <c r="C13" t="s">
        <v>46</v>
      </c>
      <c r="D13" t="s">
        <v>30</v>
      </c>
      <c r="E13" t="s">
        <v>47</v>
      </c>
      <c r="F13">
        <v>39</v>
      </c>
      <c r="G13" s="2">
        <v>115</v>
      </c>
      <c r="H13" s="2">
        <v>4485</v>
      </c>
      <c r="I13" t="s">
        <v>15</v>
      </c>
      <c r="J13" t="s">
        <v>16</v>
      </c>
      <c r="K13" t="str">
        <f>TEXT(Sales_Data[[#This Row],[Order Date]],"yyyy")</f>
        <v>2026</v>
      </c>
      <c r="L13" t="str">
        <f>TEXT(Sales_Data[[#This Row],[Order Date]],"mmmm")</f>
        <v>July</v>
      </c>
      <c r="M13" s="1">
        <v>46216</v>
      </c>
      <c r="N13" s="1">
        <v>35878</v>
      </c>
      <c r="O13">
        <f>DATEDIF(Sales_Data[[#This Row],[Date of Birth]],Sales_Data[[#This Row],[Order Date]],"y")</f>
        <v>28</v>
      </c>
      <c r="P13" t="str" cm="1">
        <f t="array" ref="P13">_xlfn.IFS(Sales_Data[[#This Row],[Age ]]&lt;=30,"Young Adult",Sales_Data[[#This Row],[Age ]]&lt;=45,"Senior",Sales_Data[[#This Row],[Age ]]&lt;=60,"Adult",Sales_Data[[#This Row],[Age ]]&gt;=61,"Elderly")</f>
        <v>Young Adult</v>
      </c>
    </row>
    <row r="14" spans="1:16" x14ac:dyDescent="0.3">
      <c r="A14" t="s">
        <v>48</v>
      </c>
      <c r="B14" t="s">
        <v>18</v>
      </c>
      <c r="C14" t="s">
        <v>46</v>
      </c>
      <c r="D14" t="s">
        <v>13</v>
      </c>
      <c r="E14" t="s">
        <v>49</v>
      </c>
      <c r="F14">
        <v>49</v>
      </c>
      <c r="G14" s="2">
        <v>646</v>
      </c>
      <c r="H14" s="2">
        <v>31654</v>
      </c>
      <c r="I14" t="s">
        <v>22</v>
      </c>
      <c r="J14" t="s">
        <v>23</v>
      </c>
      <c r="K14" t="str">
        <f>TEXT(Sales_Data[[#This Row],[Order Date]],"yyyy")</f>
        <v>2026</v>
      </c>
      <c r="L14" t="str">
        <f>TEXT(Sales_Data[[#This Row],[Order Date]],"mmmm")</f>
        <v>November</v>
      </c>
      <c r="M14" s="1">
        <v>46337</v>
      </c>
      <c r="N14" s="1">
        <v>38360</v>
      </c>
      <c r="O14">
        <f>DATEDIF(Sales_Data[[#This Row],[Date of Birth]],Sales_Data[[#This Row],[Order Date]],"y")</f>
        <v>21</v>
      </c>
      <c r="P14" t="str" cm="1">
        <f t="array" ref="P14">_xlfn.IFS(Sales_Data[[#This Row],[Age ]]&lt;=30,"Young Adult",Sales_Data[[#This Row],[Age ]]&lt;=45,"Senior",Sales_Data[[#This Row],[Age ]]&lt;=60,"Adult",Sales_Data[[#This Row],[Age ]]&gt;=61,"Elderly")</f>
        <v>Young Adult</v>
      </c>
    </row>
    <row r="15" spans="1:16" x14ac:dyDescent="0.3">
      <c r="A15" t="s">
        <v>50</v>
      </c>
      <c r="B15" t="s">
        <v>11</v>
      </c>
      <c r="C15" t="s">
        <v>12</v>
      </c>
      <c r="D15" t="s">
        <v>20</v>
      </c>
      <c r="E15" t="s">
        <v>21</v>
      </c>
      <c r="F15">
        <v>47</v>
      </c>
      <c r="G15" s="2">
        <v>619</v>
      </c>
      <c r="H15" s="2">
        <v>29093</v>
      </c>
      <c r="I15" t="s">
        <v>22</v>
      </c>
      <c r="J15" t="s">
        <v>16</v>
      </c>
      <c r="K15" t="str">
        <f>TEXT(Sales_Data[[#This Row],[Order Date]],"yyyy")</f>
        <v>2026</v>
      </c>
      <c r="L15" t="str">
        <f>TEXT(Sales_Data[[#This Row],[Order Date]],"mmmm")</f>
        <v>September</v>
      </c>
      <c r="M15" s="1">
        <v>46290</v>
      </c>
      <c r="N15" s="1">
        <v>32678</v>
      </c>
      <c r="O15">
        <f>DATEDIF(Sales_Data[[#This Row],[Date of Birth]],Sales_Data[[#This Row],[Order Date]],"y")</f>
        <v>37</v>
      </c>
      <c r="P15" t="str" cm="1">
        <f t="array" ref="P15">_xlfn.IFS(Sales_Data[[#This Row],[Age ]]&lt;=30,"Young Adult",Sales_Data[[#This Row],[Age ]]&lt;=45,"Senior",Sales_Data[[#This Row],[Age ]]&lt;=60,"Adult",Sales_Data[[#This Row],[Age ]]&gt;=61,"Elderly")</f>
        <v>Senior</v>
      </c>
    </row>
    <row r="16" spans="1:16" x14ac:dyDescent="0.3">
      <c r="A16" t="s">
        <v>51</v>
      </c>
      <c r="B16" t="s">
        <v>18</v>
      </c>
      <c r="C16" t="s">
        <v>26</v>
      </c>
      <c r="D16" t="s">
        <v>30</v>
      </c>
      <c r="E16" t="s">
        <v>38</v>
      </c>
      <c r="F16">
        <v>24</v>
      </c>
      <c r="G16" s="2">
        <v>215</v>
      </c>
      <c r="H16" s="2">
        <v>5160</v>
      </c>
      <c r="I16" t="s">
        <v>22</v>
      </c>
      <c r="J16" t="s">
        <v>23</v>
      </c>
      <c r="K16" t="str">
        <f>TEXT(Sales_Data[[#This Row],[Order Date]],"yyyy")</f>
        <v>2026</v>
      </c>
      <c r="L16" t="str">
        <f>TEXT(Sales_Data[[#This Row],[Order Date]],"mmmm")</f>
        <v>September</v>
      </c>
      <c r="M16" s="1">
        <v>46290</v>
      </c>
      <c r="N16" s="1">
        <v>25167</v>
      </c>
      <c r="O16">
        <f>DATEDIF(Sales_Data[[#This Row],[Date of Birth]],Sales_Data[[#This Row],[Order Date]],"y")</f>
        <v>57</v>
      </c>
      <c r="P16" t="str" cm="1">
        <f t="array" ref="P16">_xlfn.IFS(Sales_Data[[#This Row],[Age ]]&lt;=30,"Young Adult",Sales_Data[[#This Row],[Age ]]&lt;=45,"Senior",Sales_Data[[#This Row],[Age ]]&lt;=60,"Adult",Sales_Data[[#This Row],[Age ]]&gt;=61,"Elderly")</f>
        <v>Adult</v>
      </c>
    </row>
    <row r="17" spans="1:16" x14ac:dyDescent="0.3">
      <c r="A17" t="s">
        <v>52</v>
      </c>
      <c r="B17" t="s">
        <v>18</v>
      </c>
      <c r="C17" t="s">
        <v>12</v>
      </c>
      <c r="D17" t="s">
        <v>13</v>
      </c>
      <c r="E17" t="s">
        <v>40</v>
      </c>
      <c r="F17">
        <v>20</v>
      </c>
      <c r="G17" s="2">
        <v>590</v>
      </c>
      <c r="H17" s="2">
        <v>11800</v>
      </c>
      <c r="I17" t="s">
        <v>22</v>
      </c>
      <c r="J17" t="s">
        <v>23</v>
      </c>
      <c r="K17" t="str">
        <f>TEXT(Sales_Data[[#This Row],[Order Date]],"yyyy")</f>
        <v>2026</v>
      </c>
      <c r="L17" t="str">
        <f>TEXT(Sales_Data[[#This Row],[Order Date]],"mmmm")</f>
        <v>January</v>
      </c>
      <c r="M17" s="1">
        <v>46030</v>
      </c>
      <c r="N17" s="1">
        <v>33417</v>
      </c>
      <c r="O17">
        <f>DATEDIF(Sales_Data[[#This Row],[Date of Birth]],Sales_Data[[#This Row],[Order Date]],"y")</f>
        <v>34</v>
      </c>
      <c r="P17" t="str" cm="1">
        <f t="array" ref="P17">_xlfn.IFS(Sales_Data[[#This Row],[Age ]]&lt;=30,"Young Adult",Sales_Data[[#This Row],[Age ]]&lt;=45,"Senior",Sales_Data[[#This Row],[Age ]]&lt;=60,"Adult",Sales_Data[[#This Row],[Age ]]&gt;=61,"Elderly")</f>
        <v>Senior</v>
      </c>
    </row>
    <row r="18" spans="1:16" x14ac:dyDescent="0.3">
      <c r="A18" t="s">
        <v>53</v>
      </c>
      <c r="B18" t="s">
        <v>29</v>
      </c>
      <c r="C18" t="s">
        <v>42</v>
      </c>
      <c r="D18" t="s">
        <v>30</v>
      </c>
      <c r="E18" t="s">
        <v>38</v>
      </c>
      <c r="F18">
        <v>43</v>
      </c>
      <c r="G18" s="2">
        <v>536</v>
      </c>
      <c r="H18" s="2">
        <v>23048</v>
      </c>
      <c r="I18" t="s">
        <v>15</v>
      </c>
      <c r="J18" t="s">
        <v>16</v>
      </c>
      <c r="K18" t="str">
        <f>TEXT(Sales_Data[[#This Row],[Order Date]],"yyyy")</f>
        <v>2026</v>
      </c>
      <c r="L18" t="str">
        <f>TEXT(Sales_Data[[#This Row],[Order Date]],"mmmm")</f>
        <v>September</v>
      </c>
      <c r="M18" s="1">
        <v>46271</v>
      </c>
      <c r="N18" s="1">
        <v>30655</v>
      </c>
      <c r="O18">
        <f>DATEDIF(Sales_Data[[#This Row],[Date of Birth]],Sales_Data[[#This Row],[Order Date]],"y")</f>
        <v>42</v>
      </c>
      <c r="P18" t="str" cm="1">
        <f t="array" ref="P18">_xlfn.IFS(Sales_Data[[#This Row],[Age ]]&lt;=30,"Young Adult",Sales_Data[[#This Row],[Age ]]&lt;=45,"Senior",Sales_Data[[#This Row],[Age ]]&lt;=60,"Adult",Sales_Data[[#This Row],[Age ]]&gt;=61,"Elderly")</f>
        <v>Senior</v>
      </c>
    </row>
    <row r="19" spans="1:16" x14ac:dyDescent="0.3">
      <c r="A19" t="s">
        <v>54</v>
      </c>
      <c r="B19" t="s">
        <v>25</v>
      </c>
      <c r="C19" t="s">
        <v>55</v>
      </c>
      <c r="D19" t="s">
        <v>30</v>
      </c>
      <c r="E19" t="s">
        <v>31</v>
      </c>
      <c r="F19">
        <v>26</v>
      </c>
      <c r="G19" s="2">
        <v>737</v>
      </c>
      <c r="H19" s="2">
        <v>19162</v>
      </c>
      <c r="I19" t="s">
        <v>15</v>
      </c>
      <c r="J19" t="s">
        <v>23</v>
      </c>
      <c r="K19" t="str">
        <f>TEXT(Sales_Data[[#This Row],[Order Date]],"yyyy")</f>
        <v>2026</v>
      </c>
      <c r="L19" t="str">
        <f>TEXT(Sales_Data[[#This Row],[Order Date]],"mmmm")</f>
        <v>November</v>
      </c>
      <c r="M19" s="1">
        <v>46338</v>
      </c>
      <c r="N19" s="1">
        <v>24263</v>
      </c>
      <c r="O19">
        <f>DATEDIF(Sales_Data[[#This Row],[Date of Birth]],Sales_Data[[#This Row],[Order Date]],"y")</f>
        <v>60</v>
      </c>
      <c r="P19" t="str" cm="1">
        <f t="array" ref="P19">_xlfn.IFS(Sales_Data[[#This Row],[Age ]]&lt;=30,"Young Adult",Sales_Data[[#This Row],[Age ]]&lt;=45,"Senior",Sales_Data[[#This Row],[Age ]]&lt;=60,"Adult",Sales_Data[[#This Row],[Age ]]&gt;=61,"Elderly")</f>
        <v>Adult</v>
      </c>
    </row>
    <row r="20" spans="1:16" x14ac:dyDescent="0.3">
      <c r="A20" t="s">
        <v>56</v>
      </c>
      <c r="B20" t="s">
        <v>11</v>
      </c>
      <c r="C20" t="s">
        <v>19</v>
      </c>
      <c r="D20" t="s">
        <v>30</v>
      </c>
      <c r="E20" t="s">
        <v>57</v>
      </c>
      <c r="F20">
        <v>22</v>
      </c>
      <c r="G20" s="2">
        <v>71</v>
      </c>
      <c r="H20" s="2">
        <v>1562</v>
      </c>
      <c r="I20" t="s">
        <v>15</v>
      </c>
      <c r="J20" t="s">
        <v>23</v>
      </c>
      <c r="K20" t="str">
        <f>TEXT(Sales_Data[[#This Row],[Order Date]],"yyyy")</f>
        <v>2026</v>
      </c>
      <c r="L20" t="str">
        <f>TEXT(Sales_Data[[#This Row],[Order Date]],"mmmm")</f>
        <v>October</v>
      </c>
      <c r="M20" s="1">
        <v>46313</v>
      </c>
      <c r="N20" s="1">
        <v>24231</v>
      </c>
      <c r="O20">
        <f>DATEDIF(Sales_Data[[#This Row],[Date of Birth]],Sales_Data[[#This Row],[Order Date]],"y")</f>
        <v>60</v>
      </c>
      <c r="P20" t="str" cm="1">
        <f t="array" ref="P20">_xlfn.IFS(Sales_Data[[#This Row],[Age ]]&lt;=30,"Young Adult",Sales_Data[[#This Row],[Age ]]&lt;=45,"Senior",Sales_Data[[#This Row],[Age ]]&lt;=60,"Adult",Sales_Data[[#This Row],[Age ]]&gt;=61,"Elderly")</f>
        <v>Adult</v>
      </c>
    </row>
    <row r="21" spans="1:16" x14ac:dyDescent="0.3">
      <c r="A21" t="s">
        <v>58</v>
      </c>
      <c r="B21" t="s">
        <v>11</v>
      </c>
      <c r="C21" t="s">
        <v>46</v>
      </c>
      <c r="D21" t="s">
        <v>13</v>
      </c>
      <c r="E21" t="s">
        <v>59</v>
      </c>
      <c r="F21">
        <v>5</v>
      </c>
      <c r="G21" s="2">
        <v>164</v>
      </c>
      <c r="H21" s="2">
        <v>820</v>
      </c>
      <c r="I21" t="s">
        <v>22</v>
      </c>
      <c r="J21" t="s">
        <v>23</v>
      </c>
      <c r="K21" t="str">
        <f>TEXT(Sales_Data[[#This Row],[Order Date]],"yyyy")</f>
        <v>2026</v>
      </c>
      <c r="L21" t="str">
        <f>TEXT(Sales_Data[[#This Row],[Order Date]],"mmmm")</f>
        <v>June</v>
      </c>
      <c r="M21" s="1">
        <v>46176</v>
      </c>
      <c r="N21" s="1">
        <v>25278</v>
      </c>
      <c r="O21">
        <f>DATEDIF(Sales_Data[[#This Row],[Date of Birth]],Sales_Data[[#This Row],[Order Date]],"y")</f>
        <v>57</v>
      </c>
      <c r="P21" t="str" cm="1">
        <f t="array" ref="P21">_xlfn.IFS(Sales_Data[[#This Row],[Age ]]&lt;=30,"Young Adult",Sales_Data[[#This Row],[Age ]]&lt;=45,"Senior",Sales_Data[[#This Row],[Age ]]&lt;=60,"Adult",Sales_Data[[#This Row],[Age ]]&gt;=61,"Elderly")</f>
        <v>Adult</v>
      </c>
    </row>
    <row r="22" spans="1:16" x14ac:dyDescent="0.3">
      <c r="A22" t="s">
        <v>60</v>
      </c>
      <c r="B22" t="s">
        <v>25</v>
      </c>
      <c r="C22" t="s">
        <v>42</v>
      </c>
      <c r="D22" t="s">
        <v>30</v>
      </c>
      <c r="E22" t="s">
        <v>61</v>
      </c>
      <c r="F22">
        <v>37</v>
      </c>
      <c r="G22" s="2">
        <v>534</v>
      </c>
      <c r="H22" s="2">
        <v>19758</v>
      </c>
      <c r="I22" t="s">
        <v>15</v>
      </c>
      <c r="J22" t="s">
        <v>23</v>
      </c>
      <c r="K22" t="str">
        <f>TEXT(Sales_Data[[#This Row],[Order Date]],"yyyy")</f>
        <v>2026</v>
      </c>
      <c r="L22" t="str">
        <f>TEXT(Sales_Data[[#This Row],[Order Date]],"mmmm")</f>
        <v>April</v>
      </c>
      <c r="M22" s="1">
        <v>46138</v>
      </c>
      <c r="N22" s="1">
        <v>27325</v>
      </c>
      <c r="O22">
        <f>DATEDIF(Sales_Data[[#This Row],[Date of Birth]],Sales_Data[[#This Row],[Order Date]],"y")</f>
        <v>51</v>
      </c>
      <c r="P22" t="str" cm="1">
        <f t="array" ref="P22">_xlfn.IFS(Sales_Data[[#This Row],[Age ]]&lt;=30,"Young Adult",Sales_Data[[#This Row],[Age ]]&lt;=45,"Senior",Sales_Data[[#This Row],[Age ]]&lt;=60,"Adult",Sales_Data[[#This Row],[Age ]]&gt;=61,"Elderly")</f>
        <v>Adult</v>
      </c>
    </row>
    <row r="23" spans="1:16" x14ac:dyDescent="0.3">
      <c r="A23" t="s">
        <v>62</v>
      </c>
      <c r="B23" t="s">
        <v>18</v>
      </c>
      <c r="C23" t="s">
        <v>12</v>
      </c>
      <c r="D23" t="s">
        <v>13</v>
      </c>
      <c r="E23" t="s">
        <v>63</v>
      </c>
      <c r="F23">
        <v>23</v>
      </c>
      <c r="G23" s="2">
        <v>967</v>
      </c>
      <c r="H23" s="2">
        <v>22241</v>
      </c>
      <c r="I23" t="s">
        <v>15</v>
      </c>
      <c r="J23" t="s">
        <v>34</v>
      </c>
      <c r="K23" t="str">
        <f>TEXT(Sales_Data[[#This Row],[Order Date]],"yyyy")</f>
        <v>2026</v>
      </c>
      <c r="L23" t="str">
        <f>TEXT(Sales_Data[[#This Row],[Order Date]],"mmmm")</f>
        <v>July</v>
      </c>
      <c r="M23" s="1">
        <v>46218</v>
      </c>
      <c r="N23" s="1">
        <v>27554</v>
      </c>
      <c r="O23">
        <f>DATEDIF(Sales_Data[[#This Row],[Date of Birth]],Sales_Data[[#This Row],[Order Date]],"y")</f>
        <v>51</v>
      </c>
      <c r="P23" t="str" cm="1">
        <f t="array" ref="P23">_xlfn.IFS(Sales_Data[[#This Row],[Age ]]&lt;=30,"Young Adult",Sales_Data[[#This Row],[Age ]]&lt;=45,"Senior",Sales_Data[[#This Row],[Age ]]&lt;=60,"Adult",Sales_Data[[#This Row],[Age ]]&gt;=61,"Elderly")</f>
        <v>Adult</v>
      </c>
    </row>
    <row r="24" spans="1:16" x14ac:dyDescent="0.3">
      <c r="A24" t="s">
        <v>64</v>
      </c>
      <c r="B24" t="s">
        <v>25</v>
      </c>
      <c r="C24" t="s">
        <v>65</v>
      </c>
      <c r="D24" t="s">
        <v>66</v>
      </c>
      <c r="E24" t="s">
        <v>67</v>
      </c>
      <c r="F24">
        <v>16</v>
      </c>
      <c r="G24" s="2">
        <v>14</v>
      </c>
      <c r="H24" s="2">
        <v>224</v>
      </c>
      <c r="I24" t="s">
        <v>22</v>
      </c>
      <c r="J24" t="s">
        <v>23</v>
      </c>
      <c r="K24" t="str">
        <f>TEXT(Sales_Data[[#This Row],[Order Date]],"yyyy")</f>
        <v>2026</v>
      </c>
      <c r="L24" t="str">
        <f>TEXT(Sales_Data[[#This Row],[Order Date]],"mmmm")</f>
        <v>April</v>
      </c>
      <c r="M24" s="1">
        <v>46130</v>
      </c>
      <c r="N24" s="1">
        <v>32022</v>
      </c>
      <c r="O24">
        <f>DATEDIF(Sales_Data[[#This Row],[Date of Birth]],Sales_Data[[#This Row],[Order Date]],"y")</f>
        <v>38</v>
      </c>
      <c r="P24" t="str" cm="1">
        <f t="array" ref="P24">_xlfn.IFS(Sales_Data[[#This Row],[Age ]]&lt;=30,"Young Adult",Sales_Data[[#This Row],[Age ]]&lt;=45,"Senior",Sales_Data[[#This Row],[Age ]]&lt;=60,"Adult",Sales_Data[[#This Row],[Age ]]&gt;=61,"Elderly")</f>
        <v>Senior</v>
      </c>
    </row>
    <row r="25" spans="1:16" x14ac:dyDescent="0.3">
      <c r="A25" t="s">
        <v>68</v>
      </c>
      <c r="B25" t="s">
        <v>18</v>
      </c>
      <c r="C25" t="s">
        <v>69</v>
      </c>
      <c r="D25" t="s">
        <v>66</v>
      </c>
      <c r="E25" t="s">
        <v>70</v>
      </c>
      <c r="F25">
        <v>16</v>
      </c>
      <c r="G25" s="2">
        <v>6</v>
      </c>
      <c r="H25" s="2">
        <v>96</v>
      </c>
      <c r="I25" t="s">
        <v>15</v>
      </c>
      <c r="J25" t="s">
        <v>23</v>
      </c>
      <c r="K25" t="str">
        <f>TEXT(Sales_Data[[#This Row],[Order Date]],"yyyy")</f>
        <v>2026</v>
      </c>
      <c r="L25" t="str">
        <f>TEXT(Sales_Data[[#This Row],[Order Date]],"mmmm")</f>
        <v>August</v>
      </c>
      <c r="M25" s="1">
        <v>46260</v>
      </c>
      <c r="N25" s="1">
        <v>33606</v>
      </c>
      <c r="O25">
        <f>DATEDIF(Sales_Data[[#This Row],[Date of Birth]],Sales_Data[[#This Row],[Order Date]],"y")</f>
        <v>34</v>
      </c>
      <c r="P25" t="str" cm="1">
        <f t="array" ref="P25">_xlfn.IFS(Sales_Data[[#This Row],[Age ]]&lt;=30,"Young Adult",Sales_Data[[#This Row],[Age ]]&lt;=45,"Senior",Sales_Data[[#This Row],[Age ]]&lt;=60,"Adult",Sales_Data[[#This Row],[Age ]]&gt;=61,"Elderly")</f>
        <v>Senior</v>
      </c>
    </row>
    <row r="26" spans="1:16" x14ac:dyDescent="0.3">
      <c r="A26" t="s">
        <v>71</v>
      </c>
      <c r="B26" t="s">
        <v>25</v>
      </c>
      <c r="C26" t="s">
        <v>69</v>
      </c>
      <c r="D26" t="s">
        <v>30</v>
      </c>
      <c r="E26" t="s">
        <v>38</v>
      </c>
      <c r="F26">
        <v>27</v>
      </c>
      <c r="G26" s="2">
        <v>547</v>
      </c>
      <c r="H26" s="2">
        <v>14769</v>
      </c>
      <c r="I26" t="s">
        <v>15</v>
      </c>
      <c r="J26" t="s">
        <v>34</v>
      </c>
      <c r="K26" t="str">
        <f>TEXT(Sales_Data[[#This Row],[Order Date]],"yyyy")</f>
        <v>2026</v>
      </c>
      <c r="L26" t="str">
        <f>TEXT(Sales_Data[[#This Row],[Order Date]],"mmmm")</f>
        <v>August</v>
      </c>
      <c r="M26" s="1">
        <v>46241</v>
      </c>
      <c r="N26" s="1">
        <v>24177</v>
      </c>
      <c r="O26">
        <f>DATEDIF(Sales_Data[[#This Row],[Date of Birth]],Sales_Data[[#This Row],[Order Date]],"y")</f>
        <v>60</v>
      </c>
      <c r="P26" t="str" cm="1">
        <f t="array" ref="P26">_xlfn.IFS(Sales_Data[[#This Row],[Age ]]&lt;=30,"Young Adult",Sales_Data[[#This Row],[Age ]]&lt;=45,"Senior",Sales_Data[[#This Row],[Age ]]&lt;=60,"Adult",Sales_Data[[#This Row],[Age ]]&gt;=61,"Elderly")</f>
        <v>Adult</v>
      </c>
    </row>
    <row r="27" spans="1:16" x14ac:dyDescent="0.3">
      <c r="A27" t="s">
        <v>72</v>
      </c>
      <c r="B27" t="s">
        <v>25</v>
      </c>
      <c r="C27" t="s">
        <v>65</v>
      </c>
      <c r="D27" t="s">
        <v>13</v>
      </c>
      <c r="E27" t="s">
        <v>63</v>
      </c>
      <c r="F27">
        <v>17</v>
      </c>
      <c r="G27" s="2">
        <v>1031</v>
      </c>
      <c r="H27" s="2">
        <v>17527</v>
      </c>
      <c r="I27" t="s">
        <v>15</v>
      </c>
      <c r="J27" t="s">
        <v>34</v>
      </c>
      <c r="K27" t="str">
        <f>TEXT(Sales_Data[[#This Row],[Order Date]],"yyyy")</f>
        <v>2026</v>
      </c>
      <c r="L27" t="str">
        <f>TEXT(Sales_Data[[#This Row],[Order Date]],"mmmm")</f>
        <v>May</v>
      </c>
      <c r="M27" s="1">
        <v>46156</v>
      </c>
      <c r="N27" s="1">
        <v>32938</v>
      </c>
      <c r="O27">
        <f>DATEDIF(Sales_Data[[#This Row],[Date of Birth]],Sales_Data[[#This Row],[Order Date]],"y")</f>
        <v>36</v>
      </c>
      <c r="P27" t="str" cm="1">
        <f t="array" ref="P27">_xlfn.IFS(Sales_Data[[#This Row],[Age ]]&lt;=30,"Young Adult",Sales_Data[[#This Row],[Age ]]&lt;=45,"Senior",Sales_Data[[#This Row],[Age ]]&lt;=60,"Adult",Sales_Data[[#This Row],[Age ]]&gt;=61,"Elderly")</f>
        <v>Senior</v>
      </c>
    </row>
    <row r="28" spans="1:16" x14ac:dyDescent="0.3">
      <c r="A28" t="s">
        <v>73</v>
      </c>
      <c r="B28" t="s">
        <v>29</v>
      </c>
      <c r="C28" t="s">
        <v>69</v>
      </c>
      <c r="D28" t="s">
        <v>30</v>
      </c>
      <c r="E28" t="s">
        <v>57</v>
      </c>
      <c r="F28">
        <v>38</v>
      </c>
      <c r="G28" s="2">
        <v>605</v>
      </c>
      <c r="H28" s="2">
        <v>22990</v>
      </c>
      <c r="I28" t="s">
        <v>15</v>
      </c>
      <c r="J28" t="s">
        <v>16</v>
      </c>
      <c r="K28" t="str">
        <f>TEXT(Sales_Data[[#This Row],[Order Date]],"yyyy")</f>
        <v>2026</v>
      </c>
      <c r="L28" t="str">
        <f>TEXT(Sales_Data[[#This Row],[Order Date]],"mmmm")</f>
        <v>January</v>
      </c>
      <c r="M28" s="1">
        <v>46046</v>
      </c>
      <c r="N28" s="1">
        <v>27000</v>
      </c>
      <c r="O28">
        <f>DATEDIF(Sales_Data[[#This Row],[Date of Birth]],Sales_Data[[#This Row],[Order Date]],"y")</f>
        <v>52</v>
      </c>
      <c r="P28" t="str" cm="1">
        <f t="array" ref="P28">_xlfn.IFS(Sales_Data[[#This Row],[Age ]]&lt;=30,"Young Adult",Sales_Data[[#This Row],[Age ]]&lt;=45,"Senior",Sales_Data[[#This Row],[Age ]]&lt;=60,"Adult",Sales_Data[[#This Row],[Age ]]&gt;=61,"Elderly")</f>
        <v>Adult</v>
      </c>
    </row>
    <row r="29" spans="1:16" x14ac:dyDescent="0.3">
      <c r="A29" t="s">
        <v>74</v>
      </c>
      <c r="B29" t="s">
        <v>18</v>
      </c>
      <c r="C29" t="s">
        <v>65</v>
      </c>
      <c r="D29" t="s">
        <v>20</v>
      </c>
      <c r="E29" t="s">
        <v>27</v>
      </c>
      <c r="F29">
        <v>34</v>
      </c>
      <c r="G29" s="2">
        <v>402</v>
      </c>
      <c r="H29" s="2">
        <v>13668</v>
      </c>
      <c r="I29" t="s">
        <v>15</v>
      </c>
      <c r="J29" t="s">
        <v>16</v>
      </c>
      <c r="K29" t="str">
        <f>TEXT(Sales_Data[[#This Row],[Order Date]],"yyyy")</f>
        <v>2026</v>
      </c>
      <c r="L29" t="str">
        <f>TEXT(Sales_Data[[#This Row],[Order Date]],"mmmm")</f>
        <v>January</v>
      </c>
      <c r="M29" s="1">
        <v>46039</v>
      </c>
      <c r="N29" s="1">
        <v>35474</v>
      </c>
      <c r="O29">
        <f>DATEDIF(Sales_Data[[#This Row],[Date of Birth]],Sales_Data[[#This Row],[Order Date]],"y")</f>
        <v>28</v>
      </c>
      <c r="P29" t="str" cm="1">
        <f t="array" ref="P29">_xlfn.IFS(Sales_Data[[#This Row],[Age ]]&lt;=30,"Young Adult",Sales_Data[[#This Row],[Age ]]&lt;=45,"Senior",Sales_Data[[#This Row],[Age ]]&lt;=60,"Adult",Sales_Data[[#This Row],[Age ]]&gt;=61,"Elderly")</f>
        <v>Young Adult</v>
      </c>
    </row>
    <row r="30" spans="1:16" x14ac:dyDescent="0.3">
      <c r="A30" t="s">
        <v>75</v>
      </c>
      <c r="B30" t="s">
        <v>18</v>
      </c>
      <c r="C30" t="s">
        <v>12</v>
      </c>
      <c r="D30" t="s">
        <v>13</v>
      </c>
      <c r="E30" t="s">
        <v>59</v>
      </c>
      <c r="F30">
        <v>26</v>
      </c>
      <c r="G30" s="2">
        <v>345</v>
      </c>
      <c r="H30" s="2">
        <v>8970</v>
      </c>
      <c r="I30" t="s">
        <v>22</v>
      </c>
      <c r="J30" t="s">
        <v>16</v>
      </c>
      <c r="K30" t="str">
        <f>TEXT(Sales_Data[[#This Row],[Order Date]],"yyyy")</f>
        <v>2026</v>
      </c>
      <c r="L30" t="str">
        <f>TEXT(Sales_Data[[#This Row],[Order Date]],"mmmm")</f>
        <v>October</v>
      </c>
      <c r="M30" s="1">
        <v>46303</v>
      </c>
      <c r="N30" s="1">
        <v>34390</v>
      </c>
      <c r="O30">
        <f>DATEDIF(Sales_Data[[#This Row],[Date of Birth]],Sales_Data[[#This Row],[Order Date]],"y")</f>
        <v>32</v>
      </c>
      <c r="P30" t="str" cm="1">
        <f t="array" ref="P30">_xlfn.IFS(Sales_Data[[#This Row],[Age ]]&lt;=30,"Young Adult",Sales_Data[[#This Row],[Age ]]&lt;=45,"Senior",Sales_Data[[#This Row],[Age ]]&lt;=60,"Adult",Sales_Data[[#This Row],[Age ]]&gt;=61,"Elderly")</f>
        <v>Senior</v>
      </c>
    </row>
    <row r="31" spans="1:16" x14ac:dyDescent="0.3">
      <c r="A31" t="s">
        <v>76</v>
      </c>
      <c r="B31" t="s">
        <v>11</v>
      </c>
      <c r="C31" t="s">
        <v>46</v>
      </c>
      <c r="D31" t="s">
        <v>66</v>
      </c>
      <c r="E31" t="s">
        <v>77</v>
      </c>
      <c r="F31">
        <v>14</v>
      </c>
      <c r="G31" s="2">
        <v>44</v>
      </c>
      <c r="H31" s="2">
        <v>616</v>
      </c>
      <c r="I31" t="s">
        <v>22</v>
      </c>
      <c r="J31" t="s">
        <v>23</v>
      </c>
      <c r="K31" t="str">
        <f>TEXT(Sales_Data[[#This Row],[Order Date]],"yyyy")</f>
        <v>2026</v>
      </c>
      <c r="L31" t="str">
        <f>TEXT(Sales_Data[[#This Row],[Order Date]],"mmmm")</f>
        <v>December</v>
      </c>
      <c r="M31" s="1">
        <v>46367</v>
      </c>
      <c r="N31" s="1">
        <v>35233</v>
      </c>
      <c r="O31">
        <f>DATEDIF(Sales_Data[[#This Row],[Date of Birth]],Sales_Data[[#This Row],[Order Date]],"y")</f>
        <v>30</v>
      </c>
      <c r="P31" t="str" cm="1">
        <f t="array" ref="P31">_xlfn.IFS(Sales_Data[[#This Row],[Age ]]&lt;=30,"Young Adult",Sales_Data[[#This Row],[Age ]]&lt;=45,"Senior",Sales_Data[[#This Row],[Age ]]&lt;=60,"Adult",Sales_Data[[#This Row],[Age ]]&gt;=61,"Elderly")</f>
        <v>Young Adult</v>
      </c>
    </row>
    <row r="32" spans="1:16" x14ac:dyDescent="0.3">
      <c r="A32" t="s">
        <v>78</v>
      </c>
      <c r="B32" t="s">
        <v>25</v>
      </c>
      <c r="C32" t="s">
        <v>12</v>
      </c>
      <c r="D32" t="s">
        <v>66</v>
      </c>
      <c r="E32" t="s">
        <v>70</v>
      </c>
      <c r="F32">
        <v>21</v>
      </c>
      <c r="G32" s="2">
        <v>50</v>
      </c>
      <c r="H32" s="2">
        <v>1050</v>
      </c>
      <c r="I32" t="s">
        <v>15</v>
      </c>
      <c r="J32" t="s">
        <v>16</v>
      </c>
      <c r="K32" t="str">
        <f>TEXT(Sales_Data[[#This Row],[Order Date]],"yyyy")</f>
        <v>2026</v>
      </c>
      <c r="L32" t="str">
        <f>TEXT(Sales_Data[[#This Row],[Order Date]],"mmmm")</f>
        <v>February</v>
      </c>
      <c r="M32" s="1">
        <v>46054</v>
      </c>
      <c r="N32" s="1">
        <v>32671</v>
      </c>
      <c r="O32">
        <f>DATEDIF(Sales_Data[[#This Row],[Date of Birth]],Sales_Data[[#This Row],[Order Date]],"y")</f>
        <v>36</v>
      </c>
      <c r="P32" t="str" cm="1">
        <f t="array" ref="P32">_xlfn.IFS(Sales_Data[[#This Row],[Age ]]&lt;=30,"Young Adult",Sales_Data[[#This Row],[Age ]]&lt;=45,"Senior",Sales_Data[[#This Row],[Age ]]&lt;=60,"Adult",Sales_Data[[#This Row],[Age ]]&gt;=61,"Elderly")</f>
        <v>Senior</v>
      </c>
    </row>
    <row r="33" spans="1:16" x14ac:dyDescent="0.3">
      <c r="A33" t="s">
        <v>79</v>
      </c>
      <c r="B33" t="s">
        <v>11</v>
      </c>
      <c r="C33" t="s">
        <v>26</v>
      </c>
      <c r="D33" t="s">
        <v>30</v>
      </c>
      <c r="E33" t="s">
        <v>61</v>
      </c>
      <c r="F33">
        <v>17</v>
      </c>
      <c r="G33" s="2">
        <v>185</v>
      </c>
      <c r="H33" s="2">
        <v>3145</v>
      </c>
      <c r="I33" t="s">
        <v>22</v>
      </c>
      <c r="J33" t="s">
        <v>23</v>
      </c>
      <c r="K33" t="str">
        <f>TEXT(Sales_Data[[#This Row],[Order Date]],"yyyy")</f>
        <v>2026</v>
      </c>
      <c r="L33" t="str">
        <f>TEXT(Sales_Data[[#This Row],[Order Date]],"mmmm")</f>
        <v>June</v>
      </c>
      <c r="M33" s="1">
        <v>46176</v>
      </c>
      <c r="N33" s="1">
        <v>30616</v>
      </c>
      <c r="O33">
        <f>DATEDIF(Sales_Data[[#This Row],[Date of Birth]],Sales_Data[[#This Row],[Order Date]],"y")</f>
        <v>42</v>
      </c>
      <c r="P33" t="str" cm="1">
        <f t="array" ref="P33">_xlfn.IFS(Sales_Data[[#This Row],[Age ]]&lt;=30,"Young Adult",Sales_Data[[#This Row],[Age ]]&lt;=45,"Senior",Sales_Data[[#This Row],[Age ]]&lt;=60,"Adult",Sales_Data[[#This Row],[Age ]]&gt;=61,"Elderly")</f>
        <v>Senior</v>
      </c>
    </row>
    <row r="34" spans="1:16" x14ac:dyDescent="0.3">
      <c r="A34" t="s">
        <v>80</v>
      </c>
      <c r="B34" t="s">
        <v>18</v>
      </c>
      <c r="C34" t="s">
        <v>46</v>
      </c>
      <c r="D34" t="s">
        <v>20</v>
      </c>
      <c r="E34" t="s">
        <v>27</v>
      </c>
      <c r="F34">
        <v>46</v>
      </c>
      <c r="G34" s="2">
        <v>699</v>
      </c>
      <c r="H34" s="2">
        <v>32154</v>
      </c>
      <c r="I34" t="s">
        <v>15</v>
      </c>
      <c r="J34" t="s">
        <v>23</v>
      </c>
      <c r="K34" t="str">
        <f>TEXT(Sales_Data[[#This Row],[Order Date]],"yyyy")</f>
        <v>2026</v>
      </c>
      <c r="L34" t="str">
        <f>TEXT(Sales_Data[[#This Row],[Order Date]],"mmmm")</f>
        <v>October</v>
      </c>
      <c r="M34" s="1">
        <v>46321</v>
      </c>
      <c r="N34" s="1">
        <v>27354</v>
      </c>
      <c r="O34">
        <f>DATEDIF(Sales_Data[[#This Row],[Date of Birth]],Sales_Data[[#This Row],[Order Date]],"y")</f>
        <v>51</v>
      </c>
      <c r="P34" t="str" cm="1">
        <f t="array" ref="P34">_xlfn.IFS(Sales_Data[[#This Row],[Age ]]&lt;=30,"Young Adult",Sales_Data[[#This Row],[Age ]]&lt;=45,"Senior",Sales_Data[[#This Row],[Age ]]&lt;=60,"Adult",Sales_Data[[#This Row],[Age ]]&gt;=61,"Elderly")</f>
        <v>Adult</v>
      </c>
    </row>
    <row r="35" spans="1:16" x14ac:dyDescent="0.3">
      <c r="A35" t="s">
        <v>81</v>
      </c>
      <c r="B35" t="s">
        <v>29</v>
      </c>
      <c r="C35" t="s">
        <v>46</v>
      </c>
      <c r="D35" t="s">
        <v>66</v>
      </c>
      <c r="E35" t="s">
        <v>67</v>
      </c>
      <c r="F35">
        <v>7</v>
      </c>
      <c r="G35" s="2">
        <v>49</v>
      </c>
      <c r="H35" s="2">
        <v>343</v>
      </c>
      <c r="I35" t="s">
        <v>15</v>
      </c>
      <c r="J35" t="s">
        <v>16</v>
      </c>
      <c r="K35" t="str">
        <f>TEXT(Sales_Data[[#This Row],[Order Date]],"yyyy")</f>
        <v>2026</v>
      </c>
      <c r="L35" t="str">
        <f>TEXT(Sales_Data[[#This Row],[Order Date]],"mmmm")</f>
        <v>September</v>
      </c>
      <c r="M35" s="1">
        <v>46270</v>
      </c>
      <c r="N35" s="1">
        <v>31102</v>
      </c>
      <c r="O35">
        <f>DATEDIF(Sales_Data[[#This Row],[Date of Birth]],Sales_Data[[#This Row],[Order Date]],"y")</f>
        <v>41</v>
      </c>
      <c r="P35" t="str" cm="1">
        <f t="array" ref="P35">_xlfn.IFS(Sales_Data[[#This Row],[Age ]]&lt;=30,"Young Adult",Sales_Data[[#This Row],[Age ]]&lt;=45,"Senior",Sales_Data[[#This Row],[Age ]]&lt;=60,"Adult",Sales_Data[[#This Row],[Age ]]&gt;=61,"Elderly")</f>
        <v>Senior</v>
      </c>
    </row>
    <row r="36" spans="1:16" x14ac:dyDescent="0.3">
      <c r="A36" t="s">
        <v>82</v>
      </c>
      <c r="B36" t="s">
        <v>25</v>
      </c>
      <c r="C36" t="s">
        <v>46</v>
      </c>
      <c r="D36" t="s">
        <v>66</v>
      </c>
      <c r="E36" t="s">
        <v>83</v>
      </c>
      <c r="F36">
        <v>44</v>
      </c>
      <c r="G36" s="2">
        <v>42</v>
      </c>
      <c r="H36" s="2">
        <v>1848</v>
      </c>
      <c r="I36" t="s">
        <v>15</v>
      </c>
      <c r="J36" t="s">
        <v>23</v>
      </c>
      <c r="K36" t="str">
        <f>TEXT(Sales_Data[[#This Row],[Order Date]],"yyyy")</f>
        <v>2026</v>
      </c>
      <c r="L36" t="str">
        <f>TEXT(Sales_Data[[#This Row],[Order Date]],"mmmm")</f>
        <v>May</v>
      </c>
      <c r="M36" s="1">
        <v>46159</v>
      </c>
      <c r="N36" s="1">
        <v>33397</v>
      </c>
      <c r="O36">
        <f>DATEDIF(Sales_Data[[#This Row],[Date of Birth]],Sales_Data[[#This Row],[Order Date]],"y")</f>
        <v>34</v>
      </c>
      <c r="P36" t="str" cm="1">
        <f t="array" ref="P36">_xlfn.IFS(Sales_Data[[#This Row],[Age ]]&lt;=30,"Young Adult",Sales_Data[[#This Row],[Age ]]&lt;=45,"Senior",Sales_Data[[#This Row],[Age ]]&lt;=60,"Adult",Sales_Data[[#This Row],[Age ]]&gt;=61,"Elderly")</f>
        <v>Senior</v>
      </c>
    </row>
    <row r="37" spans="1:16" x14ac:dyDescent="0.3">
      <c r="A37" t="s">
        <v>84</v>
      </c>
      <c r="B37" t="s">
        <v>11</v>
      </c>
      <c r="C37" t="s">
        <v>46</v>
      </c>
      <c r="D37" t="s">
        <v>20</v>
      </c>
      <c r="E37" t="s">
        <v>36</v>
      </c>
      <c r="F37">
        <v>3</v>
      </c>
      <c r="G37" s="2">
        <v>87</v>
      </c>
      <c r="H37" s="2">
        <v>261</v>
      </c>
      <c r="I37" t="s">
        <v>15</v>
      </c>
      <c r="J37" t="s">
        <v>16</v>
      </c>
      <c r="K37" t="str">
        <f>TEXT(Sales_Data[[#This Row],[Order Date]],"yyyy")</f>
        <v>2026</v>
      </c>
      <c r="L37" t="str">
        <f>TEXT(Sales_Data[[#This Row],[Order Date]],"mmmm")</f>
        <v>June</v>
      </c>
      <c r="M37" s="1">
        <v>46198</v>
      </c>
      <c r="N37" s="1">
        <v>28300</v>
      </c>
      <c r="O37">
        <f>DATEDIF(Sales_Data[[#This Row],[Date of Birth]],Sales_Data[[#This Row],[Order Date]],"y")</f>
        <v>49</v>
      </c>
      <c r="P37" t="str" cm="1">
        <f t="array" ref="P37">_xlfn.IFS(Sales_Data[[#This Row],[Age ]]&lt;=30,"Young Adult",Sales_Data[[#This Row],[Age ]]&lt;=45,"Senior",Sales_Data[[#This Row],[Age ]]&lt;=60,"Adult",Sales_Data[[#This Row],[Age ]]&gt;=61,"Elderly")</f>
        <v>Adult</v>
      </c>
    </row>
    <row r="38" spans="1:16" x14ac:dyDescent="0.3">
      <c r="A38" t="s">
        <v>85</v>
      </c>
      <c r="B38" t="s">
        <v>18</v>
      </c>
      <c r="C38" t="s">
        <v>12</v>
      </c>
      <c r="D38" t="s">
        <v>20</v>
      </c>
      <c r="E38" t="s">
        <v>27</v>
      </c>
      <c r="F38">
        <v>46</v>
      </c>
      <c r="G38" s="2">
        <v>955</v>
      </c>
      <c r="H38" s="2">
        <v>43930</v>
      </c>
      <c r="I38" t="s">
        <v>15</v>
      </c>
      <c r="J38" t="s">
        <v>16</v>
      </c>
      <c r="K38" t="str">
        <f>TEXT(Sales_Data[[#This Row],[Order Date]],"yyyy")</f>
        <v>2026</v>
      </c>
      <c r="L38" t="str">
        <f>TEXT(Sales_Data[[#This Row],[Order Date]],"mmmm")</f>
        <v>September</v>
      </c>
      <c r="M38" s="1">
        <v>46266</v>
      </c>
      <c r="N38" s="1">
        <v>37004</v>
      </c>
      <c r="O38">
        <f>DATEDIF(Sales_Data[[#This Row],[Date of Birth]],Sales_Data[[#This Row],[Order Date]],"y")</f>
        <v>25</v>
      </c>
      <c r="P38" t="str" cm="1">
        <f t="array" ref="P38">_xlfn.IFS(Sales_Data[[#This Row],[Age ]]&lt;=30,"Young Adult",Sales_Data[[#This Row],[Age ]]&lt;=45,"Senior",Sales_Data[[#This Row],[Age ]]&lt;=60,"Adult",Sales_Data[[#This Row],[Age ]]&gt;=61,"Elderly")</f>
        <v>Young Adult</v>
      </c>
    </row>
    <row r="39" spans="1:16" x14ac:dyDescent="0.3">
      <c r="A39" t="s">
        <v>86</v>
      </c>
      <c r="B39" t="s">
        <v>18</v>
      </c>
      <c r="C39" t="s">
        <v>46</v>
      </c>
      <c r="D39" t="s">
        <v>13</v>
      </c>
      <c r="E39" t="s">
        <v>40</v>
      </c>
      <c r="F39">
        <v>38</v>
      </c>
      <c r="G39" s="2">
        <v>403</v>
      </c>
      <c r="H39" s="2">
        <v>15314</v>
      </c>
      <c r="I39" t="s">
        <v>22</v>
      </c>
      <c r="J39" t="s">
        <v>23</v>
      </c>
      <c r="K39" t="str">
        <f>TEXT(Sales_Data[[#This Row],[Order Date]],"yyyy")</f>
        <v>2026</v>
      </c>
      <c r="L39" t="str">
        <f>TEXT(Sales_Data[[#This Row],[Order Date]],"mmmm")</f>
        <v>July</v>
      </c>
      <c r="M39" s="1">
        <v>46208</v>
      </c>
      <c r="N39" s="1">
        <v>37985</v>
      </c>
      <c r="O39">
        <f>DATEDIF(Sales_Data[[#This Row],[Date of Birth]],Sales_Data[[#This Row],[Order Date]],"y")</f>
        <v>22</v>
      </c>
      <c r="P39" t="str" cm="1">
        <f t="array" ref="P39">_xlfn.IFS(Sales_Data[[#This Row],[Age ]]&lt;=30,"Young Adult",Sales_Data[[#This Row],[Age ]]&lt;=45,"Senior",Sales_Data[[#This Row],[Age ]]&lt;=60,"Adult",Sales_Data[[#This Row],[Age ]]&gt;=61,"Elderly")</f>
        <v>Young Adult</v>
      </c>
    </row>
    <row r="40" spans="1:16" x14ac:dyDescent="0.3">
      <c r="A40" t="s">
        <v>87</v>
      </c>
      <c r="B40" t="s">
        <v>29</v>
      </c>
      <c r="C40" t="s">
        <v>42</v>
      </c>
      <c r="D40" t="s">
        <v>66</v>
      </c>
      <c r="E40" t="s">
        <v>83</v>
      </c>
      <c r="F40">
        <v>44</v>
      </c>
      <c r="G40" s="2">
        <v>17</v>
      </c>
      <c r="H40" s="2">
        <v>748</v>
      </c>
      <c r="I40" t="s">
        <v>15</v>
      </c>
      <c r="J40" t="s">
        <v>23</v>
      </c>
      <c r="K40" t="str">
        <f>TEXT(Sales_Data[[#This Row],[Order Date]],"yyyy")</f>
        <v>2026</v>
      </c>
      <c r="L40" t="str">
        <f>TEXT(Sales_Data[[#This Row],[Order Date]],"mmmm")</f>
        <v>November</v>
      </c>
      <c r="M40" s="1">
        <v>46330</v>
      </c>
      <c r="N40" s="1">
        <v>23849</v>
      </c>
      <c r="O40">
        <f>DATEDIF(Sales_Data[[#This Row],[Date of Birth]],Sales_Data[[#This Row],[Order Date]],"y")</f>
        <v>61</v>
      </c>
      <c r="P40" t="str" cm="1">
        <f t="array" ref="P40">_xlfn.IFS(Sales_Data[[#This Row],[Age ]]&lt;=30,"Young Adult",Sales_Data[[#This Row],[Age ]]&lt;=45,"Senior",Sales_Data[[#This Row],[Age ]]&lt;=60,"Adult",Sales_Data[[#This Row],[Age ]]&gt;=61,"Elderly")</f>
        <v>Elderly</v>
      </c>
    </row>
    <row r="41" spans="1:16" x14ac:dyDescent="0.3">
      <c r="A41" t="s">
        <v>88</v>
      </c>
      <c r="B41" t="s">
        <v>29</v>
      </c>
      <c r="C41" t="s">
        <v>42</v>
      </c>
      <c r="D41" t="s">
        <v>30</v>
      </c>
      <c r="E41" t="s">
        <v>38</v>
      </c>
      <c r="F41">
        <v>27</v>
      </c>
      <c r="G41" s="2">
        <v>75</v>
      </c>
      <c r="H41" s="2">
        <v>2025</v>
      </c>
      <c r="I41" t="s">
        <v>15</v>
      </c>
      <c r="J41" t="s">
        <v>34</v>
      </c>
      <c r="K41" t="str">
        <f>TEXT(Sales_Data[[#This Row],[Order Date]],"yyyy")</f>
        <v>2026</v>
      </c>
      <c r="L41" t="str">
        <f>TEXT(Sales_Data[[#This Row],[Order Date]],"mmmm")</f>
        <v>March</v>
      </c>
      <c r="M41" s="1">
        <v>46105</v>
      </c>
      <c r="N41" s="1">
        <v>36175</v>
      </c>
      <c r="O41">
        <f>DATEDIF(Sales_Data[[#This Row],[Date of Birth]],Sales_Data[[#This Row],[Order Date]],"y")</f>
        <v>27</v>
      </c>
      <c r="P41" t="str" cm="1">
        <f t="array" ref="P41">_xlfn.IFS(Sales_Data[[#This Row],[Age ]]&lt;=30,"Young Adult",Sales_Data[[#This Row],[Age ]]&lt;=45,"Senior",Sales_Data[[#This Row],[Age ]]&lt;=60,"Adult",Sales_Data[[#This Row],[Age ]]&gt;=61,"Elderly")</f>
        <v>Young Adult</v>
      </c>
    </row>
    <row r="42" spans="1:16" x14ac:dyDescent="0.3">
      <c r="A42" t="s">
        <v>89</v>
      </c>
      <c r="B42" t="s">
        <v>11</v>
      </c>
      <c r="C42" t="s">
        <v>55</v>
      </c>
      <c r="D42" t="s">
        <v>30</v>
      </c>
      <c r="E42" t="s">
        <v>57</v>
      </c>
      <c r="F42">
        <v>25</v>
      </c>
      <c r="G42" s="2">
        <v>89</v>
      </c>
      <c r="H42" s="2">
        <v>2225</v>
      </c>
      <c r="I42" t="s">
        <v>22</v>
      </c>
      <c r="J42" t="s">
        <v>34</v>
      </c>
      <c r="K42" t="str">
        <f>TEXT(Sales_Data[[#This Row],[Order Date]],"yyyy")</f>
        <v>2026</v>
      </c>
      <c r="L42" t="str">
        <f>TEXT(Sales_Data[[#This Row],[Order Date]],"mmmm")</f>
        <v>August</v>
      </c>
      <c r="M42" s="1">
        <v>46242</v>
      </c>
      <c r="N42" s="1">
        <v>36945</v>
      </c>
      <c r="O42">
        <f>DATEDIF(Sales_Data[[#This Row],[Date of Birth]],Sales_Data[[#This Row],[Order Date]],"y")</f>
        <v>25</v>
      </c>
      <c r="P42" t="str" cm="1">
        <f t="array" ref="P42">_xlfn.IFS(Sales_Data[[#This Row],[Age ]]&lt;=30,"Young Adult",Sales_Data[[#This Row],[Age ]]&lt;=45,"Senior",Sales_Data[[#This Row],[Age ]]&lt;=60,"Adult",Sales_Data[[#This Row],[Age ]]&gt;=61,"Elderly")</f>
        <v>Young Adult</v>
      </c>
    </row>
    <row r="43" spans="1:16" x14ac:dyDescent="0.3">
      <c r="A43" t="s">
        <v>90</v>
      </c>
      <c r="B43" t="s">
        <v>29</v>
      </c>
      <c r="C43" t="s">
        <v>46</v>
      </c>
      <c r="D43" t="s">
        <v>30</v>
      </c>
      <c r="E43" t="s">
        <v>38</v>
      </c>
      <c r="F43">
        <v>2</v>
      </c>
      <c r="G43" s="2">
        <v>725</v>
      </c>
      <c r="H43" s="2">
        <v>1450</v>
      </c>
      <c r="I43" t="s">
        <v>15</v>
      </c>
      <c r="J43" t="s">
        <v>34</v>
      </c>
      <c r="K43" t="str">
        <f>TEXT(Sales_Data[[#This Row],[Order Date]],"yyyy")</f>
        <v>2026</v>
      </c>
      <c r="L43" t="str">
        <f>TEXT(Sales_Data[[#This Row],[Order Date]],"mmmm")</f>
        <v>April</v>
      </c>
      <c r="M43" s="1">
        <v>46125</v>
      </c>
      <c r="N43" s="1">
        <v>26358</v>
      </c>
      <c r="O43">
        <f>DATEDIF(Sales_Data[[#This Row],[Date of Birth]],Sales_Data[[#This Row],[Order Date]],"y")</f>
        <v>54</v>
      </c>
      <c r="P43" t="str" cm="1">
        <f t="array" ref="P43">_xlfn.IFS(Sales_Data[[#This Row],[Age ]]&lt;=30,"Young Adult",Sales_Data[[#This Row],[Age ]]&lt;=45,"Senior",Sales_Data[[#This Row],[Age ]]&lt;=60,"Adult",Sales_Data[[#This Row],[Age ]]&gt;=61,"Elderly")</f>
        <v>Adult</v>
      </c>
    </row>
    <row r="44" spans="1:16" x14ac:dyDescent="0.3">
      <c r="A44" t="s">
        <v>91</v>
      </c>
      <c r="B44" t="s">
        <v>18</v>
      </c>
      <c r="C44" t="s">
        <v>12</v>
      </c>
      <c r="D44" t="s">
        <v>66</v>
      </c>
      <c r="E44" t="s">
        <v>92</v>
      </c>
      <c r="F44">
        <v>26</v>
      </c>
      <c r="G44" s="2">
        <v>45</v>
      </c>
      <c r="H44" s="2">
        <v>1170</v>
      </c>
      <c r="I44" t="s">
        <v>22</v>
      </c>
      <c r="J44" t="s">
        <v>23</v>
      </c>
      <c r="K44" t="str">
        <f>TEXT(Sales_Data[[#This Row],[Order Date]],"yyyy")</f>
        <v>2026</v>
      </c>
      <c r="L44" t="str">
        <f>TEXT(Sales_Data[[#This Row],[Order Date]],"mmmm")</f>
        <v>September</v>
      </c>
      <c r="M44" s="1">
        <v>46276</v>
      </c>
      <c r="N44" s="1">
        <v>35181</v>
      </c>
      <c r="O44">
        <f>DATEDIF(Sales_Data[[#This Row],[Date of Birth]],Sales_Data[[#This Row],[Order Date]],"y")</f>
        <v>30</v>
      </c>
      <c r="P44" t="str" cm="1">
        <f t="array" ref="P44">_xlfn.IFS(Sales_Data[[#This Row],[Age ]]&lt;=30,"Young Adult",Sales_Data[[#This Row],[Age ]]&lt;=45,"Senior",Sales_Data[[#This Row],[Age ]]&lt;=60,"Adult",Sales_Data[[#This Row],[Age ]]&gt;=61,"Elderly")</f>
        <v>Young Adult</v>
      </c>
    </row>
    <row r="45" spans="1:16" x14ac:dyDescent="0.3">
      <c r="A45" t="s">
        <v>93</v>
      </c>
      <c r="B45" t="s">
        <v>29</v>
      </c>
      <c r="C45" t="s">
        <v>42</v>
      </c>
      <c r="D45" t="s">
        <v>66</v>
      </c>
      <c r="E45" t="s">
        <v>67</v>
      </c>
      <c r="F45">
        <v>7</v>
      </c>
      <c r="G45" s="2">
        <v>40</v>
      </c>
      <c r="H45" s="2">
        <v>280</v>
      </c>
      <c r="I45" t="s">
        <v>15</v>
      </c>
      <c r="J45" t="s">
        <v>34</v>
      </c>
      <c r="K45" t="str">
        <f>TEXT(Sales_Data[[#This Row],[Order Date]],"yyyy")</f>
        <v>2026</v>
      </c>
      <c r="L45" t="str">
        <f>TEXT(Sales_Data[[#This Row],[Order Date]],"mmmm")</f>
        <v>July</v>
      </c>
      <c r="M45" s="1">
        <v>46215</v>
      </c>
      <c r="N45" s="1">
        <v>30667</v>
      </c>
      <c r="O45">
        <f>DATEDIF(Sales_Data[[#This Row],[Date of Birth]],Sales_Data[[#This Row],[Order Date]],"y")</f>
        <v>42</v>
      </c>
      <c r="P45" t="str" cm="1">
        <f t="array" ref="P45">_xlfn.IFS(Sales_Data[[#This Row],[Age ]]&lt;=30,"Young Adult",Sales_Data[[#This Row],[Age ]]&lt;=45,"Senior",Sales_Data[[#This Row],[Age ]]&lt;=60,"Adult",Sales_Data[[#This Row],[Age ]]&gt;=61,"Elderly")</f>
        <v>Senior</v>
      </c>
    </row>
    <row r="46" spans="1:16" x14ac:dyDescent="0.3">
      <c r="A46" t="s">
        <v>94</v>
      </c>
      <c r="B46" t="s">
        <v>11</v>
      </c>
      <c r="C46" t="s">
        <v>26</v>
      </c>
      <c r="D46" t="s">
        <v>30</v>
      </c>
      <c r="E46" t="s">
        <v>31</v>
      </c>
      <c r="F46">
        <v>3</v>
      </c>
      <c r="G46" s="2">
        <v>775</v>
      </c>
      <c r="H46" s="2">
        <v>2325</v>
      </c>
      <c r="I46" t="s">
        <v>22</v>
      </c>
      <c r="J46" t="s">
        <v>23</v>
      </c>
      <c r="K46" t="str">
        <f>TEXT(Sales_Data[[#This Row],[Order Date]],"yyyy")</f>
        <v>2026</v>
      </c>
      <c r="L46" t="str">
        <f>TEXT(Sales_Data[[#This Row],[Order Date]],"mmmm")</f>
        <v>July</v>
      </c>
      <c r="M46" s="1">
        <v>46204</v>
      </c>
      <c r="N46" s="1">
        <v>29317</v>
      </c>
      <c r="O46">
        <f>DATEDIF(Sales_Data[[#This Row],[Date of Birth]],Sales_Data[[#This Row],[Order Date]],"y")</f>
        <v>46</v>
      </c>
      <c r="P46" t="str" cm="1">
        <f t="array" ref="P46">_xlfn.IFS(Sales_Data[[#This Row],[Age ]]&lt;=30,"Young Adult",Sales_Data[[#This Row],[Age ]]&lt;=45,"Senior",Sales_Data[[#This Row],[Age ]]&lt;=60,"Adult",Sales_Data[[#This Row],[Age ]]&gt;=61,"Elderly")</f>
        <v>Adult</v>
      </c>
    </row>
    <row r="47" spans="1:16" x14ac:dyDescent="0.3">
      <c r="A47" t="s">
        <v>95</v>
      </c>
      <c r="B47" t="s">
        <v>29</v>
      </c>
      <c r="C47" t="s">
        <v>46</v>
      </c>
      <c r="D47" t="s">
        <v>66</v>
      </c>
      <c r="E47" t="s">
        <v>92</v>
      </c>
      <c r="F47">
        <v>21</v>
      </c>
      <c r="G47" s="2">
        <v>44</v>
      </c>
      <c r="H47" s="2">
        <v>924</v>
      </c>
      <c r="I47" t="s">
        <v>22</v>
      </c>
      <c r="J47" t="s">
        <v>34</v>
      </c>
      <c r="K47" t="str">
        <f>TEXT(Sales_Data[[#This Row],[Order Date]],"yyyy")</f>
        <v>2026</v>
      </c>
      <c r="L47" t="str">
        <f>TEXT(Sales_Data[[#This Row],[Order Date]],"mmmm")</f>
        <v>February</v>
      </c>
      <c r="M47" s="1">
        <v>46077</v>
      </c>
      <c r="N47" s="1">
        <v>28295</v>
      </c>
      <c r="O47">
        <f>DATEDIF(Sales_Data[[#This Row],[Date of Birth]],Sales_Data[[#This Row],[Order Date]],"y")</f>
        <v>48</v>
      </c>
      <c r="P47" t="str" cm="1">
        <f t="array" ref="P47">_xlfn.IFS(Sales_Data[[#This Row],[Age ]]&lt;=30,"Young Adult",Sales_Data[[#This Row],[Age ]]&lt;=45,"Senior",Sales_Data[[#This Row],[Age ]]&lt;=60,"Adult",Sales_Data[[#This Row],[Age ]]&gt;=61,"Elderly")</f>
        <v>Adult</v>
      </c>
    </row>
    <row r="48" spans="1:16" x14ac:dyDescent="0.3">
      <c r="A48" t="s">
        <v>96</v>
      </c>
      <c r="B48" t="s">
        <v>25</v>
      </c>
      <c r="C48" t="s">
        <v>65</v>
      </c>
      <c r="D48" t="s">
        <v>20</v>
      </c>
      <c r="E48" t="s">
        <v>36</v>
      </c>
      <c r="F48">
        <v>36</v>
      </c>
      <c r="G48" s="2">
        <v>340</v>
      </c>
      <c r="H48" s="2">
        <v>12240</v>
      </c>
      <c r="I48" t="s">
        <v>22</v>
      </c>
      <c r="J48" t="s">
        <v>34</v>
      </c>
      <c r="K48" t="str">
        <f>TEXT(Sales_Data[[#This Row],[Order Date]],"yyyy")</f>
        <v>2026</v>
      </c>
      <c r="L48" t="str">
        <f>TEXT(Sales_Data[[#This Row],[Order Date]],"mmmm")</f>
        <v>April</v>
      </c>
      <c r="M48" s="1">
        <v>46126</v>
      </c>
      <c r="N48" s="1">
        <v>26290</v>
      </c>
      <c r="O48">
        <f>DATEDIF(Sales_Data[[#This Row],[Date of Birth]],Sales_Data[[#This Row],[Order Date]],"y")</f>
        <v>54</v>
      </c>
      <c r="P48" t="str" cm="1">
        <f t="array" ref="P48">_xlfn.IFS(Sales_Data[[#This Row],[Age ]]&lt;=30,"Young Adult",Sales_Data[[#This Row],[Age ]]&lt;=45,"Senior",Sales_Data[[#This Row],[Age ]]&lt;=60,"Adult",Sales_Data[[#This Row],[Age ]]&gt;=61,"Elderly")</f>
        <v>Adult</v>
      </c>
    </row>
    <row r="49" spans="1:16" x14ac:dyDescent="0.3">
      <c r="A49" t="s">
        <v>97</v>
      </c>
      <c r="B49" t="s">
        <v>29</v>
      </c>
      <c r="C49" t="s">
        <v>55</v>
      </c>
      <c r="D49" t="s">
        <v>13</v>
      </c>
      <c r="E49" t="s">
        <v>40</v>
      </c>
      <c r="F49">
        <v>19</v>
      </c>
      <c r="G49" s="2">
        <v>530</v>
      </c>
      <c r="H49" s="2">
        <v>10070</v>
      </c>
      <c r="I49" t="s">
        <v>22</v>
      </c>
      <c r="J49" t="s">
        <v>34</v>
      </c>
      <c r="K49" t="str">
        <f>TEXT(Sales_Data[[#This Row],[Order Date]],"yyyy")</f>
        <v>2026</v>
      </c>
      <c r="L49" t="str">
        <f>TEXT(Sales_Data[[#This Row],[Order Date]],"mmmm")</f>
        <v>July</v>
      </c>
      <c r="M49" s="1">
        <v>46229</v>
      </c>
      <c r="N49" s="1">
        <v>27270</v>
      </c>
      <c r="O49">
        <f>DATEDIF(Sales_Data[[#This Row],[Date of Birth]],Sales_Data[[#This Row],[Order Date]],"y")</f>
        <v>51</v>
      </c>
      <c r="P49" t="str" cm="1">
        <f t="array" ref="P49">_xlfn.IFS(Sales_Data[[#This Row],[Age ]]&lt;=30,"Young Adult",Sales_Data[[#This Row],[Age ]]&lt;=45,"Senior",Sales_Data[[#This Row],[Age ]]&lt;=60,"Adult",Sales_Data[[#This Row],[Age ]]&gt;=61,"Elderly")</f>
        <v>Adult</v>
      </c>
    </row>
    <row r="50" spans="1:16" x14ac:dyDescent="0.3">
      <c r="A50" t="s">
        <v>98</v>
      </c>
      <c r="B50" t="s">
        <v>29</v>
      </c>
      <c r="C50" t="s">
        <v>26</v>
      </c>
      <c r="D50" t="s">
        <v>30</v>
      </c>
      <c r="E50" t="s">
        <v>61</v>
      </c>
      <c r="F50">
        <v>31</v>
      </c>
      <c r="G50" s="2">
        <v>223</v>
      </c>
      <c r="H50" s="2">
        <v>6913</v>
      </c>
      <c r="I50" t="s">
        <v>15</v>
      </c>
      <c r="J50" t="s">
        <v>23</v>
      </c>
      <c r="K50" t="str">
        <f>TEXT(Sales_Data[[#This Row],[Order Date]],"yyyy")</f>
        <v>2026</v>
      </c>
      <c r="L50" t="str">
        <f>TEXT(Sales_Data[[#This Row],[Order Date]],"mmmm")</f>
        <v>November</v>
      </c>
      <c r="M50" s="1">
        <v>46329</v>
      </c>
      <c r="N50" s="1">
        <v>36252</v>
      </c>
      <c r="O50">
        <f>DATEDIF(Sales_Data[[#This Row],[Date of Birth]],Sales_Data[[#This Row],[Order Date]],"y")</f>
        <v>27</v>
      </c>
      <c r="P50" t="str" cm="1">
        <f t="array" ref="P50">_xlfn.IFS(Sales_Data[[#This Row],[Age ]]&lt;=30,"Young Adult",Sales_Data[[#This Row],[Age ]]&lt;=45,"Senior",Sales_Data[[#This Row],[Age ]]&lt;=60,"Adult",Sales_Data[[#This Row],[Age ]]&gt;=61,"Elderly")</f>
        <v>Young Adult</v>
      </c>
    </row>
    <row r="51" spans="1:16" x14ac:dyDescent="0.3">
      <c r="A51" t="s">
        <v>99</v>
      </c>
      <c r="B51" t="s">
        <v>11</v>
      </c>
      <c r="C51" t="s">
        <v>55</v>
      </c>
      <c r="D51" t="s">
        <v>66</v>
      </c>
      <c r="E51" t="s">
        <v>83</v>
      </c>
      <c r="F51">
        <v>13</v>
      </c>
      <c r="G51" s="2">
        <v>11</v>
      </c>
      <c r="H51" s="2">
        <v>143</v>
      </c>
      <c r="I51" t="s">
        <v>15</v>
      </c>
      <c r="J51" t="s">
        <v>34</v>
      </c>
      <c r="K51" t="str">
        <f>TEXT(Sales_Data[[#This Row],[Order Date]],"yyyy")</f>
        <v>2026</v>
      </c>
      <c r="L51" t="str">
        <f>TEXT(Sales_Data[[#This Row],[Order Date]],"mmmm")</f>
        <v>January</v>
      </c>
      <c r="M51" s="1">
        <v>46024</v>
      </c>
      <c r="N51" s="1">
        <v>29257</v>
      </c>
      <c r="O51">
        <f>DATEDIF(Sales_Data[[#This Row],[Date of Birth]],Sales_Data[[#This Row],[Order Date]],"y")</f>
        <v>45</v>
      </c>
      <c r="P51" t="str" cm="1">
        <f t="array" ref="P51">_xlfn.IFS(Sales_Data[[#This Row],[Age ]]&lt;=30,"Young Adult",Sales_Data[[#This Row],[Age ]]&lt;=45,"Senior",Sales_Data[[#This Row],[Age ]]&lt;=60,"Adult",Sales_Data[[#This Row],[Age ]]&gt;=61,"Elderly")</f>
        <v>Senior</v>
      </c>
    </row>
    <row r="52" spans="1:16" x14ac:dyDescent="0.3">
      <c r="A52" t="s">
        <v>100</v>
      </c>
      <c r="B52" t="s">
        <v>11</v>
      </c>
      <c r="C52" t="s">
        <v>65</v>
      </c>
      <c r="D52" t="s">
        <v>20</v>
      </c>
      <c r="E52" t="s">
        <v>27</v>
      </c>
      <c r="F52">
        <v>13</v>
      </c>
      <c r="G52" s="2">
        <v>866</v>
      </c>
      <c r="H52" s="2">
        <v>11258</v>
      </c>
      <c r="I52" t="s">
        <v>15</v>
      </c>
      <c r="J52" t="s">
        <v>23</v>
      </c>
      <c r="K52" t="str">
        <f>TEXT(Sales_Data[[#This Row],[Order Date]],"yyyy")</f>
        <v>2026</v>
      </c>
      <c r="L52" t="str">
        <f>TEXT(Sales_Data[[#This Row],[Order Date]],"mmmm")</f>
        <v>August</v>
      </c>
      <c r="M52" s="1">
        <v>46247</v>
      </c>
      <c r="N52" s="1">
        <v>25417</v>
      </c>
      <c r="O52">
        <f>DATEDIF(Sales_Data[[#This Row],[Date of Birth]],Sales_Data[[#This Row],[Order Date]],"y")</f>
        <v>57</v>
      </c>
      <c r="P52" t="str" cm="1">
        <f t="array" ref="P52">_xlfn.IFS(Sales_Data[[#This Row],[Age ]]&lt;=30,"Young Adult",Sales_Data[[#This Row],[Age ]]&lt;=45,"Senior",Sales_Data[[#This Row],[Age ]]&lt;=60,"Adult",Sales_Data[[#This Row],[Age ]]&gt;=61,"Elderly")</f>
        <v>Adult</v>
      </c>
    </row>
    <row r="53" spans="1:16" x14ac:dyDescent="0.3">
      <c r="A53" t="s">
        <v>101</v>
      </c>
      <c r="B53" t="s">
        <v>11</v>
      </c>
      <c r="C53" t="s">
        <v>12</v>
      </c>
      <c r="D53" t="s">
        <v>20</v>
      </c>
      <c r="E53" t="s">
        <v>43</v>
      </c>
      <c r="F53">
        <v>12</v>
      </c>
      <c r="G53" s="2">
        <v>1140</v>
      </c>
      <c r="H53" s="2">
        <v>13680</v>
      </c>
      <c r="I53" t="s">
        <v>22</v>
      </c>
      <c r="J53" t="s">
        <v>23</v>
      </c>
      <c r="K53" t="str">
        <f>TEXT(Sales_Data[[#This Row],[Order Date]],"yyyy")</f>
        <v>2026</v>
      </c>
      <c r="L53" t="str">
        <f>TEXT(Sales_Data[[#This Row],[Order Date]],"mmmm")</f>
        <v>August</v>
      </c>
      <c r="M53" s="1">
        <v>46236</v>
      </c>
      <c r="N53" s="1">
        <v>25262</v>
      </c>
      <c r="O53">
        <f>DATEDIF(Sales_Data[[#This Row],[Date of Birth]],Sales_Data[[#This Row],[Order Date]],"y")</f>
        <v>57</v>
      </c>
      <c r="P53" t="str" cm="1">
        <f t="array" ref="P53">_xlfn.IFS(Sales_Data[[#This Row],[Age ]]&lt;=30,"Young Adult",Sales_Data[[#This Row],[Age ]]&lt;=45,"Senior",Sales_Data[[#This Row],[Age ]]&lt;=60,"Adult",Sales_Data[[#This Row],[Age ]]&gt;=61,"Elderly")</f>
        <v>Adult</v>
      </c>
    </row>
    <row r="54" spans="1:16" x14ac:dyDescent="0.3">
      <c r="A54" t="s">
        <v>102</v>
      </c>
      <c r="B54" t="s">
        <v>25</v>
      </c>
      <c r="C54" t="s">
        <v>42</v>
      </c>
      <c r="D54" t="s">
        <v>20</v>
      </c>
      <c r="E54" t="s">
        <v>27</v>
      </c>
      <c r="F54">
        <v>36</v>
      </c>
      <c r="G54" s="2">
        <v>1299</v>
      </c>
      <c r="H54" s="2">
        <v>46764</v>
      </c>
      <c r="I54" t="s">
        <v>22</v>
      </c>
      <c r="J54" t="s">
        <v>23</v>
      </c>
      <c r="K54" t="str">
        <f>TEXT(Sales_Data[[#This Row],[Order Date]],"yyyy")</f>
        <v>2026</v>
      </c>
      <c r="L54" t="str">
        <f>TEXT(Sales_Data[[#This Row],[Order Date]],"mmmm")</f>
        <v>June</v>
      </c>
      <c r="M54" s="1">
        <v>46198</v>
      </c>
      <c r="N54" s="1">
        <v>29967</v>
      </c>
      <c r="O54">
        <f>DATEDIF(Sales_Data[[#This Row],[Date of Birth]],Sales_Data[[#This Row],[Order Date]],"y")</f>
        <v>44</v>
      </c>
      <c r="P54" t="str" cm="1">
        <f t="array" ref="P54">_xlfn.IFS(Sales_Data[[#This Row],[Age ]]&lt;=30,"Young Adult",Sales_Data[[#This Row],[Age ]]&lt;=45,"Senior",Sales_Data[[#This Row],[Age ]]&lt;=60,"Adult",Sales_Data[[#This Row],[Age ]]&gt;=61,"Elderly")</f>
        <v>Senior</v>
      </c>
    </row>
    <row r="55" spans="1:16" x14ac:dyDescent="0.3">
      <c r="A55" t="s">
        <v>103</v>
      </c>
      <c r="B55" t="s">
        <v>25</v>
      </c>
      <c r="C55" t="s">
        <v>19</v>
      </c>
      <c r="D55" t="s">
        <v>20</v>
      </c>
      <c r="E55" t="s">
        <v>104</v>
      </c>
      <c r="F55">
        <v>17</v>
      </c>
      <c r="G55" s="2">
        <v>586</v>
      </c>
      <c r="H55" s="2">
        <v>9962</v>
      </c>
      <c r="I55" t="s">
        <v>22</v>
      </c>
      <c r="J55" t="s">
        <v>34</v>
      </c>
      <c r="K55" t="str">
        <f>TEXT(Sales_Data[[#This Row],[Order Date]],"yyyy")</f>
        <v>2026</v>
      </c>
      <c r="L55" t="str">
        <f>TEXT(Sales_Data[[#This Row],[Order Date]],"mmmm")</f>
        <v>November</v>
      </c>
      <c r="M55" s="1">
        <v>46335</v>
      </c>
      <c r="N55" s="1">
        <v>25327</v>
      </c>
      <c r="O55">
        <f>DATEDIF(Sales_Data[[#This Row],[Date of Birth]],Sales_Data[[#This Row],[Order Date]],"y")</f>
        <v>57</v>
      </c>
      <c r="P55" t="str" cm="1">
        <f t="array" ref="P55">_xlfn.IFS(Sales_Data[[#This Row],[Age ]]&lt;=30,"Young Adult",Sales_Data[[#This Row],[Age ]]&lt;=45,"Senior",Sales_Data[[#This Row],[Age ]]&lt;=60,"Adult",Sales_Data[[#This Row],[Age ]]&gt;=61,"Elderly")</f>
        <v>Adult</v>
      </c>
    </row>
    <row r="56" spans="1:16" x14ac:dyDescent="0.3">
      <c r="A56" t="s">
        <v>105</v>
      </c>
      <c r="B56" t="s">
        <v>18</v>
      </c>
      <c r="C56" t="s">
        <v>65</v>
      </c>
      <c r="D56" t="s">
        <v>13</v>
      </c>
      <c r="E56" t="s">
        <v>40</v>
      </c>
      <c r="F56">
        <v>16</v>
      </c>
      <c r="G56" s="2">
        <v>656</v>
      </c>
      <c r="H56" s="2">
        <v>10496</v>
      </c>
      <c r="I56" t="s">
        <v>15</v>
      </c>
      <c r="J56" t="s">
        <v>23</v>
      </c>
      <c r="K56" t="str">
        <f>TEXT(Sales_Data[[#This Row],[Order Date]],"yyyy")</f>
        <v>2026</v>
      </c>
      <c r="L56" t="str">
        <f>TEXT(Sales_Data[[#This Row],[Order Date]],"mmmm")</f>
        <v>June</v>
      </c>
      <c r="M56" s="1">
        <v>46184</v>
      </c>
      <c r="N56" s="1">
        <v>29624</v>
      </c>
      <c r="O56">
        <f>DATEDIF(Sales_Data[[#This Row],[Date of Birth]],Sales_Data[[#This Row],[Order Date]],"y")</f>
        <v>45</v>
      </c>
      <c r="P56" t="str" cm="1">
        <f t="array" ref="P56">_xlfn.IFS(Sales_Data[[#This Row],[Age ]]&lt;=30,"Young Adult",Sales_Data[[#This Row],[Age ]]&lt;=45,"Senior",Sales_Data[[#This Row],[Age ]]&lt;=60,"Adult",Sales_Data[[#This Row],[Age ]]&gt;=61,"Elderly")</f>
        <v>Senior</v>
      </c>
    </row>
    <row r="57" spans="1:16" x14ac:dyDescent="0.3">
      <c r="A57" t="s">
        <v>106</v>
      </c>
      <c r="B57" t="s">
        <v>25</v>
      </c>
      <c r="C57" t="s">
        <v>26</v>
      </c>
      <c r="D57" t="s">
        <v>20</v>
      </c>
      <c r="E57" t="s">
        <v>43</v>
      </c>
      <c r="F57">
        <v>46</v>
      </c>
      <c r="G57" s="2">
        <v>518</v>
      </c>
      <c r="H57" s="2">
        <v>23828</v>
      </c>
      <c r="I57" t="s">
        <v>22</v>
      </c>
      <c r="J57" t="s">
        <v>34</v>
      </c>
      <c r="K57" t="str">
        <f>TEXT(Sales_Data[[#This Row],[Order Date]],"yyyy")</f>
        <v>2026</v>
      </c>
      <c r="L57" t="str">
        <f>TEXT(Sales_Data[[#This Row],[Order Date]],"mmmm")</f>
        <v>February</v>
      </c>
      <c r="M57" s="1">
        <v>46067</v>
      </c>
      <c r="N57" s="1">
        <v>37628</v>
      </c>
      <c r="O57">
        <f>DATEDIF(Sales_Data[[#This Row],[Date of Birth]],Sales_Data[[#This Row],[Order Date]],"y")</f>
        <v>23</v>
      </c>
      <c r="P57" t="str" cm="1">
        <f t="array" ref="P57">_xlfn.IFS(Sales_Data[[#This Row],[Age ]]&lt;=30,"Young Adult",Sales_Data[[#This Row],[Age ]]&lt;=45,"Senior",Sales_Data[[#This Row],[Age ]]&lt;=60,"Adult",Sales_Data[[#This Row],[Age ]]&gt;=61,"Elderly")</f>
        <v>Young Adult</v>
      </c>
    </row>
    <row r="58" spans="1:16" x14ac:dyDescent="0.3">
      <c r="A58" t="s">
        <v>107</v>
      </c>
      <c r="B58" t="s">
        <v>18</v>
      </c>
      <c r="C58" t="s">
        <v>42</v>
      </c>
      <c r="D58" t="s">
        <v>13</v>
      </c>
      <c r="E58" t="s">
        <v>59</v>
      </c>
      <c r="F58">
        <v>27</v>
      </c>
      <c r="G58" s="2">
        <v>897</v>
      </c>
      <c r="H58" s="2">
        <v>24219</v>
      </c>
      <c r="I58" t="s">
        <v>22</v>
      </c>
      <c r="J58" t="s">
        <v>23</v>
      </c>
      <c r="K58" t="str">
        <f>TEXT(Sales_Data[[#This Row],[Order Date]],"yyyy")</f>
        <v>2026</v>
      </c>
      <c r="L58" t="str">
        <f>TEXT(Sales_Data[[#This Row],[Order Date]],"mmmm")</f>
        <v>October</v>
      </c>
      <c r="M58" s="1">
        <v>46318</v>
      </c>
      <c r="N58" s="1">
        <v>29378</v>
      </c>
      <c r="O58">
        <f>DATEDIF(Sales_Data[[#This Row],[Date of Birth]],Sales_Data[[#This Row],[Order Date]],"y")</f>
        <v>46</v>
      </c>
      <c r="P58" t="str" cm="1">
        <f t="array" ref="P58">_xlfn.IFS(Sales_Data[[#This Row],[Age ]]&lt;=30,"Young Adult",Sales_Data[[#This Row],[Age ]]&lt;=45,"Senior",Sales_Data[[#This Row],[Age ]]&lt;=60,"Adult",Sales_Data[[#This Row],[Age ]]&gt;=61,"Elderly")</f>
        <v>Adult</v>
      </c>
    </row>
    <row r="59" spans="1:16" x14ac:dyDescent="0.3">
      <c r="A59" t="s">
        <v>108</v>
      </c>
      <c r="B59" t="s">
        <v>11</v>
      </c>
      <c r="C59" t="s">
        <v>55</v>
      </c>
      <c r="D59" t="s">
        <v>66</v>
      </c>
      <c r="E59" t="s">
        <v>77</v>
      </c>
      <c r="F59">
        <v>49</v>
      </c>
      <c r="G59" s="2">
        <v>26</v>
      </c>
      <c r="H59" s="2">
        <v>1274</v>
      </c>
      <c r="I59" t="s">
        <v>15</v>
      </c>
      <c r="J59" t="s">
        <v>34</v>
      </c>
      <c r="K59" t="str">
        <f>TEXT(Sales_Data[[#This Row],[Order Date]],"yyyy")</f>
        <v>2026</v>
      </c>
      <c r="L59" t="str">
        <f>TEXT(Sales_Data[[#This Row],[Order Date]],"mmmm")</f>
        <v>July</v>
      </c>
      <c r="M59" s="1">
        <v>46221</v>
      </c>
      <c r="N59" s="1">
        <v>33634</v>
      </c>
      <c r="O59">
        <f>DATEDIF(Sales_Data[[#This Row],[Date of Birth]],Sales_Data[[#This Row],[Order Date]],"y")</f>
        <v>34</v>
      </c>
      <c r="P59" t="str" cm="1">
        <f t="array" ref="P59">_xlfn.IFS(Sales_Data[[#This Row],[Age ]]&lt;=30,"Young Adult",Sales_Data[[#This Row],[Age ]]&lt;=45,"Senior",Sales_Data[[#This Row],[Age ]]&lt;=60,"Adult",Sales_Data[[#This Row],[Age ]]&gt;=61,"Elderly")</f>
        <v>Senior</v>
      </c>
    </row>
    <row r="60" spans="1:16" x14ac:dyDescent="0.3">
      <c r="A60" t="s">
        <v>109</v>
      </c>
      <c r="B60" t="s">
        <v>25</v>
      </c>
      <c r="C60" t="s">
        <v>65</v>
      </c>
      <c r="D60" t="s">
        <v>20</v>
      </c>
      <c r="E60" t="s">
        <v>104</v>
      </c>
      <c r="F60">
        <v>2</v>
      </c>
      <c r="G60" s="2">
        <v>876</v>
      </c>
      <c r="H60" s="2">
        <v>1752</v>
      </c>
      <c r="I60" t="s">
        <v>22</v>
      </c>
      <c r="J60" t="s">
        <v>23</v>
      </c>
      <c r="K60" t="str">
        <f>TEXT(Sales_Data[[#This Row],[Order Date]],"yyyy")</f>
        <v>2026</v>
      </c>
      <c r="L60" t="str">
        <f>TEXT(Sales_Data[[#This Row],[Order Date]],"mmmm")</f>
        <v>June</v>
      </c>
      <c r="M60" s="1">
        <v>46195</v>
      </c>
      <c r="N60" s="1">
        <v>28076</v>
      </c>
      <c r="O60">
        <f>DATEDIF(Sales_Data[[#This Row],[Date of Birth]],Sales_Data[[#This Row],[Order Date]],"y")</f>
        <v>49</v>
      </c>
      <c r="P60" t="str" cm="1">
        <f t="array" ref="P60">_xlfn.IFS(Sales_Data[[#This Row],[Age ]]&lt;=30,"Young Adult",Sales_Data[[#This Row],[Age ]]&lt;=45,"Senior",Sales_Data[[#This Row],[Age ]]&lt;=60,"Adult",Sales_Data[[#This Row],[Age ]]&gt;=61,"Elderly")</f>
        <v>Adult</v>
      </c>
    </row>
    <row r="61" spans="1:16" x14ac:dyDescent="0.3">
      <c r="A61" t="s">
        <v>110</v>
      </c>
      <c r="B61" t="s">
        <v>25</v>
      </c>
      <c r="C61" t="s">
        <v>65</v>
      </c>
      <c r="D61" t="s">
        <v>13</v>
      </c>
      <c r="E61" t="s">
        <v>63</v>
      </c>
      <c r="F61">
        <v>38</v>
      </c>
      <c r="G61" s="2">
        <v>155</v>
      </c>
      <c r="H61" s="2">
        <v>5890</v>
      </c>
      <c r="I61" t="s">
        <v>22</v>
      </c>
      <c r="J61" t="s">
        <v>23</v>
      </c>
      <c r="K61" t="str">
        <f>TEXT(Sales_Data[[#This Row],[Order Date]],"yyyy")</f>
        <v>2026</v>
      </c>
      <c r="L61" t="str">
        <f>TEXT(Sales_Data[[#This Row],[Order Date]],"mmmm")</f>
        <v>February</v>
      </c>
      <c r="M61" s="1">
        <v>46074</v>
      </c>
      <c r="N61" s="1">
        <v>36966</v>
      </c>
      <c r="O61">
        <f>DATEDIF(Sales_Data[[#This Row],[Date of Birth]],Sales_Data[[#This Row],[Order Date]],"y")</f>
        <v>24</v>
      </c>
      <c r="P61" t="str" cm="1">
        <f t="array" ref="P61">_xlfn.IFS(Sales_Data[[#This Row],[Age ]]&lt;=30,"Young Adult",Sales_Data[[#This Row],[Age ]]&lt;=45,"Senior",Sales_Data[[#This Row],[Age ]]&lt;=60,"Adult",Sales_Data[[#This Row],[Age ]]&gt;=61,"Elderly")</f>
        <v>Young Adult</v>
      </c>
    </row>
    <row r="62" spans="1:16" x14ac:dyDescent="0.3">
      <c r="A62" t="s">
        <v>111</v>
      </c>
      <c r="B62" t="s">
        <v>29</v>
      </c>
      <c r="C62" t="s">
        <v>26</v>
      </c>
      <c r="D62" t="s">
        <v>13</v>
      </c>
      <c r="E62" t="s">
        <v>40</v>
      </c>
      <c r="F62">
        <v>25</v>
      </c>
      <c r="G62" s="2">
        <v>770</v>
      </c>
      <c r="H62" s="2">
        <v>19250</v>
      </c>
      <c r="I62" t="s">
        <v>22</v>
      </c>
      <c r="J62" t="s">
        <v>34</v>
      </c>
      <c r="K62" t="str">
        <f>TEXT(Sales_Data[[#This Row],[Order Date]],"yyyy")</f>
        <v>2026</v>
      </c>
      <c r="L62" t="str">
        <f>TEXT(Sales_Data[[#This Row],[Order Date]],"mmmm")</f>
        <v>April</v>
      </c>
      <c r="M62" s="1">
        <v>46127</v>
      </c>
      <c r="N62" s="1">
        <v>24454</v>
      </c>
      <c r="O62">
        <f>DATEDIF(Sales_Data[[#This Row],[Date of Birth]],Sales_Data[[#This Row],[Order Date]],"y")</f>
        <v>59</v>
      </c>
      <c r="P62" t="str" cm="1">
        <f t="array" ref="P62">_xlfn.IFS(Sales_Data[[#This Row],[Age ]]&lt;=30,"Young Adult",Sales_Data[[#This Row],[Age ]]&lt;=45,"Senior",Sales_Data[[#This Row],[Age ]]&lt;=60,"Adult",Sales_Data[[#This Row],[Age ]]&gt;=61,"Elderly")</f>
        <v>Adult</v>
      </c>
    </row>
    <row r="63" spans="1:16" x14ac:dyDescent="0.3">
      <c r="A63" t="s">
        <v>112</v>
      </c>
      <c r="B63" t="s">
        <v>18</v>
      </c>
      <c r="C63" t="s">
        <v>26</v>
      </c>
      <c r="D63" t="s">
        <v>20</v>
      </c>
      <c r="E63" t="s">
        <v>36</v>
      </c>
      <c r="F63">
        <v>6</v>
      </c>
      <c r="G63" s="2">
        <v>1043</v>
      </c>
      <c r="H63" s="2">
        <v>6258</v>
      </c>
      <c r="I63" t="s">
        <v>15</v>
      </c>
      <c r="J63" t="s">
        <v>16</v>
      </c>
      <c r="K63" t="str">
        <f>TEXT(Sales_Data[[#This Row],[Order Date]],"yyyy")</f>
        <v>2026</v>
      </c>
      <c r="L63" t="str">
        <f>TEXT(Sales_Data[[#This Row],[Order Date]],"mmmm")</f>
        <v>January</v>
      </c>
      <c r="M63" s="1">
        <v>46046</v>
      </c>
      <c r="N63" s="1">
        <v>35698</v>
      </c>
      <c r="O63">
        <f>DATEDIF(Sales_Data[[#This Row],[Date of Birth]],Sales_Data[[#This Row],[Order Date]],"y")</f>
        <v>28</v>
      </c>
      <c r="P63" t="str" cm="1">
        <f t="array" ref="P63">_xlfn.IFS(Sales_Data[[#This Row],[Age ]]&lt;=30,"Young Adult",Sales_Data[[#This Row],[Age ]]&lt;=45,"Senior",Sales_Data[[#This Row],[Age ]]&lt;=60,"Adult",Sales_Data[[#This Row],[Age ]]&gt;=61,"Elderly")</f>
        <v>Young Adult</v>
      </c>
    </row>
    <row r="64" spans="1:16" x14ac:dyDescent="0.3">
      <c r="A64" t="s">
        <v>113</v>
      </c>
      <c r="B64" t="s">
        <v>18</v>
      </c>
      <c r="C64" t="s">
        <v>65</v>
      </c>
      <c r="D64" t="s">
        <v>13</v>
      </c>
      <c r="E64" t="s">
        <v>14</v>
      </c>
      <c r="F64">
        <v>49</v>
      </c>
      <c r="G64" s="2">
        <v>163</v>
      </c>
      <c r="H64" s="2">
        <v>7987</v>
      </c>
      <c r="I64" t="s">
        <v>15</v>
      </c>
      <c r="J64" t="s">
        <v>23</v>
      </c>
      <c r="K64" t="str">
        <f>TEXT(Sales_Data[[#This Row],[Order Date]],"yyyy")</f>
        <v>2026</v>
      </c>
      <c r="L64" t="str">
        <f>TEXT(Sales_Data[[#This Row],[Order Date]],"mmmm")</f>
        <v>April</v>
      </c>
      <c r="M64" s="1">
        <v>46119</v>
      </c>
      <c r="N64" s="1">
        <v>31270</v>
      </c>
      <c r="O64">
        <f>DATEDIF(Sales_Data[[#This Row],[Date of Birth]],Sales_Data[[#This Row],[Order Date]],"y")</f>
        <v>40</v>
      </c>
      <c r="P64" t="str" cm="1">
        <f t="array" ref="P64">_xlfn.IFS(Sales_Data[[#This Row],[Age ]]&lt;=30,"Young Adult",Sales_Data[[#This Row],[Age ]]&lt;=45,"Senior",Sales_Data[[#This Row],[Age ]]&lt;=60,"Adult",Sales_Data[[#This Row],[Age ]]&gt;=61,"Elderly")</f>
        <v>Senior</v>
      </c>
    </row>
    <row r="65" spans="1:16" x14ac:dyDescent="0.3">
      <c r="A65" t="s">
        <v>114</v>
      </c>
      <c r="B65" t="s">
        <v>29</v>
      </c>
      <c r="C65" t="s">
        <v>26</v>
      </c>
      <c r="D65" t="s">
        <v>20</v>
      </c>
      <c r="E65" t="s">
        <v>21</v>
      </c>
      <c r="F65">
        <v>37</v>
      </c>
      <c r="G65" s="2">
        <v>526</v>
      </c>
      <c r="H65" s="2">
        <v>19462</v>
      </c>
      <c r="I65" t="s">
        <v>15</v>
      </c>
      <c r="J65" t="s">
        <v>16</v>
      </c>
      <c r="K65" t="str">
        <f>TEXT(Sales_Data[[#This Row],[Order Date]],"yyyy")</f>
        <v>2026</v>
      </c>
      <c r="L65" t="str">
        <f>TEXT(Sales_Data[[#This Row],[Order Date]],"mmmm")</f>
        <v>August</v>
      </c>
      <c r="M65" s="1">
        <v>46257</v>
      </c>
      <c r="N65" s="1">
        <v>32528</v>
      </c>
      <c r="O65">
        <f>DATEDIF(Sales_Data[[#This Row],[Date of Birth]],Sales_Data[[#This Row],[Order Date]],"y")</f>
        <v>37</v>
      </c>
      <c r="P65" t="str" cm="1">
        <f t="array" ref="P65">_xlfn.IFS(Sales_Data[[#This Row],[Age ]]&lt;=30,"Young Adult",Sales_Data[[#This Row],[Age ]]&lt;=45,"Senior",Sales_Data[[#This Row],[Age ]]&lt;=60,"Adult",Sales_Data[[#This Row],[Age ]]&gt;=61,"Elderly")</f>
        <v>Senior</v>
      </c>
    </row>
    <row r="66" spans="1:16" x14ac:dyDescent="0.3">
      <c r="A66" t="s">
        <v>115</v>
      </c>
      <c r="B66" t="s">
        <v>29</v>
      </c>
      <c r="C66" t="s">
        <v>42</v>
      </c>
      <c r="D66" t="s">
        <v>13</v>
      </c>
      <c r="E66" t="s">
        <v>59</v>
      </c>
      <c r="F66">
        <v>20</v>
      </c>
      <c r="G66" s="2">
        <v>321</v>
      </c>
      <c r="H66" s="2">
        <v>6420</v>
      </c>
      <c r="I66" t="s">
        <v>22</v>
      </c>
      <c r="J66" t="s">
        <v>16</v>
      </c>
      <c r="K66" t="str">
        <f>TEXT(Sales_Data[[#This Row],[Order Date]],"yyyy")</f>
        <v>2026</v>
      </c>
      <c r="L66" t="str">
        <f>TEXT(Sales_Data[[#This Row],[Order Date]],"mmmm")</f>
        <v>October</v>
      </c>
      <c r="M66" s="1">
        <v>46296</v>
      </c>
      <c r="N66" s="1">
        <v>25788</v>
      </c>
      <c r="O66">
        <f>DATEDIF(Sales_Data[[#This Row],[Date of Birth]],Sales_Data[[#This Row],[Order Date]],"y")</f>
        <v>56</v>
      </c>
      <c r="P66" t="str" cm="1">
        <f t="array" ref="P66">_xlfn.IFS(Sales_Data[[#This Row],[Age ]]&lt;=30,"Young Adult",Sales_Data[[#This Row],[Age ]]&lt;=45,"Senior",Sales_Data[[#This Row],[Age ]]&lt;=60,"Adult",Sales_Data[[#This Row],[Age ]]&gt;=61,"Elderly")</f>
        <v>Adult</v>
      </c>
    </row>
    <row r="67" spans="1:16" x14ac:dyDescent="0.3">
      <c r="A67" t="s">
        <v>116</v>
      </c>
      <c r="B67" t="s">
        <v>18</v>
      </c>
      <c r="C67" t="s">
        <v>46</v>
      </c>
      <c r="D67" t="s">
        <v>30</v>
      </c>
      <c r="E67" t="s">
        <v>57</v>
      </c>
      <c r="F67">
        <v>38</v>
      </c>
      <c r="G67" s="2">
        <v>757</v>
      </c>
      <c r="H67" s="2">
        <v>28766</v>
      </c>
      <c r="I67" t="s">
        <v>15</v>
      </c>
      <c r="J67" t="s">
        <v>16</v>
      </c>
      <c r="K67" t="str">
        <f>TEXT(Sales_Data[[#This Row],[Order Date]],"yyyy")</f>
        <v>2026</v>
      </c>
      <c r="L67" t="str">
        <f>TEXT(Sales_Data[[#This Row],[Order Date]],"mmmm")</f>
        <v>November</v>
      </c>
      <c r="M67" s="1">
        <v>46334</v>
      </c>
      <c r="N67" s="1">
        <v>29944</v>
      </c>
      <c r="O67">
        <f>DATEDIF(Sales_Data[[#This Row],[Date of Birth]],Sales_Data[[#This Row],[Order Date]],"y")</f>
        <v>44</v>
      </c>
      <c r="P67" t="str" cm="1">
        <f t="array" ref="P67">_xlfn.IFS(Sales_Data[[#This Row],[Age ]]&lt;=30,"Young Adult",Sales_Data[[#This Row],[Age ]]&lt;=45,"Senior",Sales_Data[[#This Row],[Age ]]&lt;=60,"Adult",Sales_Data[[#This Row],[Age ]]&gt;=61,"Elderly")</f>
        <v>Senior</v>
      </c>
    </row>
    <row r="68" spans="1:16" x14ac:dyDescent="0.3">
      <c r="A68" t="s">
        <v>117</v>
      </c>
      <c r="B68" t="s">
        <v>18</v>
      </c>
      <c r="C68" t="s">
        <v>26</v>
      </c>
      <c r="D68" t="s">
        <v>13</v>
      </c>
      <c r="E68" t="s">
        <v>40</v>
      </c>
      <c r="F68">
        <v>35</v>
      </c>
      <c r="G68" s="2">
        <v>977</v>
      </c>
      <c r="H68" s="2">
        <v>34195</v>
      </c>
      <c r="I68" t="s">
        <v>15</v>
      </c>
      <c r="J68" t="s">
        <v>34</v>
      </c>
      <c r="K68" t="str">
        <f>TEXT(Sales_Data[[#This Row],[Order Date]],"yyyy")</f>
        <v>2026</v>
      </c>
      <c r="L68" t="str">
        <f>TEXT(Sales_Data[[#This Row],[Order Date]],"mmmm")</f>
        <v>November</v>
      </c>
      <c r="M68" s="1">
        <v>46338</v>
      </c>
      <c r="N68" s="1">
        <v>25034</v>
      </c>
      <c r="O68">
        <f>DATEDIF(Sales_Data[[#This Row],[Date of Birth]],Sales_Data[[#This Row],[Order Date]],"y")</f>
        <v>58</v>
      </c>
      <c r="P68" t="str" cm="1">
        <f t="array" ref="P68">_xlfn.IFS(Sales_Data[[#This Row],[Age ]]&lt;=30,"Young Adult",Sales_Data[[#This Row],[Age ]]&lt;=45,"Senior",Sales_Data[[#This Row],[Age ]]&lt;=60,"Adult",Sales_Data[[#This Row],[Age ]]&gt;=61,"Elderly")</f>
        <v>Adult</v>
      </c>
    </row>
    <row r="69" spans="1:16" x14ac:dyDescent="0.3">
      <c r="A69" t="s">
        <v>118</v>
      </c>
      <c r="B69" t="s">
        <v>25</v>
      </c>
      <c r="C69" t="s">
        <v>65</v>
      </c>
      <c r="D69" t="s">
        <v>20</v>
      </c>
      <c r="E69" t="s">
        <v>21</v>
      </c>
      <c r="F69">
        <v>28</v>
      </c>
      <c r="G69" s="2">
        <v>821</v>
      </c>
      <c r="H69" s="2">
        <v>22988</v>
      </c>
      <c r="I69" t="s">
        <v>22</v>
      </c>
      <c r="J69" t="s">
        <v>23</v>
      </c>
      <c r="K69" t="str">
        <f>TEXT(Sales_Data[[#This Row],[Order Date]],"yyyy")</f>
        <v>2026</v>
      </c>
      <c r="L69" t="str">
        <f>TEXT(Sales_Data[[#This Row],[Order Date]],"mmmm")</f>
        <v>November</v>
      </c>
      <c r="M69" s="1">
        <v>46353</v>
      </c>
      <c r="N69" s="1">
        <v>32787</v>
      </c>
      <c r="O69">
        <f>DATEDIF(Sales_Data[[#This Row],[Date of Birth]],Sales_Data[[#This Row],[Order Date]],"y")</f>
        <v>37</v>
      </c>
      <c r="P69" t="str" cm="1">
        <f t="array" ref="P69">_xlfn.IFS(Sales_Data[[#This Row],[Age ]]&lt;=30,"Young Adult",Sales_Data[[#This Row],[Age ]]&lt;=45,"Senior",Sales_Data[[#This Row],[Age ]]&lt;=60,"Adult",Sales_Data[[#This Row],[Age ]]&gt;=61,"Elderly")</f>
        <v>Senior</v>
      </c>
    </row>
    <row r="70" spans="1:16" x14ac:dyDescent="0.3">
      <c r="A70" t="s">
        <v>119</v>
      </c>
      <c r="B70" t="s">
        <v>29</v>
      </c>
      <c r="C70" t="s">
        <v>26</v>
      </c>
      <c r="D70" t="s">
        <v>66</v>
      </c>
      <c r="E70" t="s">
        <v>92</v>
      </c>
      <c r="F70">
        <v>35</v>
      </c>
      <c r="G70" s="2">
        <v>32</v>
      </c>
      <c r="H70" s="2">
        <v>1120</v>
      </c>
      <c r="I70" t="s">
        <v>15</v>
      </c>
      <c r="J70" t="s">
        <v>23</v>
      </c>
      <c r="K70" t="str">
        <f>TEXT(Sales_Data[[#This Row],[Order Date]],"yyyy")</f>
        <v>2026</v>
      </c>
      <c r="L70" t="str">
        <f>TEXT(Sales_Data[[#This Row],[Order Date]],"mmmm")</f>
        <v>August</v>
      </c>
      <c r="M70" s="1">
        <v>46248</v>
      </c>
      <c r="N70" s="1">
        <v>28546</v>
      </c>
      <c r="O70">
        <f>DATEDIF(Sales_Data[[#This Row],[Date of Birth]],Sales_Data[[#This Row],[Order Date]],"y")</f>
        <v>48</v>
      </c>
      <c r="P70" t="str" cm="1">
        <f t="array" ref="P70">_xlfn.IFS(Sales_Data[[#This Row],[Age ]]&lt;=30,"Young Adult",Sales_Data[[#This Row],[Age ]]&lt;=45,"Senior",Sales_Data[[#This Row],[Age ]]&lt;=60,"Adult",Sales_Data[[#This Row],[Age ]]&gt;=61,"Elderly")</f>
        <v>Adult</v>
      </c>
    </row>
    <row r="71" spans="1:16" x14ac:dyDescent="0.3">
      <c r="A71" t="s">
        <v>120</v>
      </c>
      <c r="B71" t="s">
        <v>25</v>
      </c>
      <c r="C71" t="s">
        <v>26</v>
      </c>
      <c r="D71" t="s">
        <v>66</v>
      </c>
      <c r="E71" t="s">
        <v>70</v>
      </c>
      <c r="F71">
        <v>16</v>
      </c>
      <c r="G71" s="2">
        <v>50</v>
      </c>
      <c r="H71" s="2">
        <v>800</v>
      </c>
      <c r="I71" t="s">
        <v>15</v>
      </c>
      <c r="J71" t="s">
        <v>34</v>
      </c>
      <c r="K71" t="str">
        <f>TEXT(Sales_Data[[#This Row],[Order Date]],"yyyy")</f>
        <v>2026</v>
      </c>
      <c r="L71" t="str">
        <f>TEXT(Sales_Data[[#This Row],[Order Date]],"mmmm")</f>
        <v>August</v>
      </c>
      <c r="M71" s="1">
        <v>46253</v>
      </c>
      <c r="N71" s="1">
        <v>37331</v>
      </c>
      <c r="O71">
        <f>DATEDIF(Sales_Data[[#This Row],[Date of Birth]],Sales_Data[[#This Row],[Order Date]],"y")</f>
        <v>24</v>
      </c>
      <c r="P71" t="str" cm="1">
        <f t="array" ref="P71">_xlfn.IFS(Sales_Data[[#This Row],[Age ]]&lt;=30,"Young Adult",Sales_Data[[#This Row],[Age ]]&lt;=45,"Senior",Sales_Data[[#This Row],[Age ]]&lt;=60,"Adult",Sales_Data[[#This Row],[Age ]]&gt;=61,"Elderly")</f>
        <v>Young Adult</v>
      </c>
    </row>
    <row r="72" spans="1:16" x14ac:dyDescent="0.3">
      <c r="A72" t="s">
        <v>121</v>
      </c>
      <c r="B72" t="s">
        <v>29</v>
      </c>
      <c r="C72" t="s">
        <v>26</v>
      </c>
      <c r="D72" t="s">
        <v>66</v>
      </c>
      <c r="E72" t="s">
        <v>83</v>
      </c>
      <c r="F72">
        <v>32</v>
      </c>
      <c r="G72" s="2">
        <v>15</v>
      </c>
      <c r="H72" s="2">
        <v>480</v>
      </c>
      <c r="I72" t="s">
        <v>22</v>
      </c>
      <c r="J72" t="s">
        <v>16</v>
      </c>
      <c r="K72" t="str">
        <f>TEXT(Sales_Data[[#This Row],[Order Date]],"yyyy")</f>
        <v>2026</v>
      </c>
      <c r="L72" t="str">
        <f>TEXT(Sales_Data[[#This Row],[Order Date]],"mmmm")</f>
        <v>June</v>
      </c>
      <c r="M72" s="1">
        <v>46199</v>
      </c>
      <c r="N72" s="1">
        <v>34042</v>
      </c>
      <c r="O72">
        <f>DATEDIF(Sales_Data[[#This Row],[Date of Birth]],Sales_Data[[#This Row],[Order Date]],"y")</f>
        <v>33</v>
      </c>
      <c r="P72" t="str" cm="1">
        <f t="array" ref="P72">_xlfn.IFS(Sales_Data[[#This Row],[Age ]]&lt;=30,"Young Adult",Sales_Data[[#This Row],[Age ]]&lt;=45,"Senior",Sales_Data[[#This Row],[Age ]]&lt;=60,"Adult",Sales_Data[[#This Row],[Age ]]&gt;=61,"Elderly")</f>
        <v>Senior</v>
      </c>
    </row>
    <row r="73" spans="1:16" x14ac:dyDescent="0.3">
      <c r="A73" t="s">
        <v>122</v>
      </c>
      <c r="B73" t="s">
        <v>11</v>
      </c>
      <c r="C73" t="s">
        <v>42</v>
      </c>
      <c r="D73" t="s">
        <v>66</v>
      </c>
      <c r="E73" t="s">
        <v>92</v>
      </c>
      <c r="F73">
        <v>1</v>
      </c>
      <c r="G73" s="2">
        <v>35</v>
      </c>
      <c r="H73" s="2">
        <v>35</v>
      </c>
      <c r="I73" t="s">
        <v>22</v>
      </c>
      <c r="J73" t="s">
        <v>16</v>
      </c>
      <c r="K73" t="str">
        <f>TEXT(Sales_Data[[#This Row],[Order Date]],"yyyy")</f>
        <v>2026</v>
      </c>
      <c r="L73" t="str">
        <f>TEXT(Sales_Data[[#This Row],[Order Date]],"mmmm")</f>
        <v>April</v>
      </c>
      <c r="M73" s="1">
        <v>46115</v>
      </c>
      <c r="N73" s="1">
        <v>33876</v>
      </c>
      <c r="O73">
        <f>DATEDIF(Sales_Data[[#This Row],[Date of Birth]],Sales_Data[[#This Row],[Order Date]],"y")</f>
        <v>33</v>
      </c>
      <c r="P73" t="str" cm="1">
        <f t="array" ref="P73">_xlfn.IFS(Sales_Data[[#This Row],[Age ]]&lt;=30,"Young Adult",Sales_Data[[#This Row],[Age ]]&lt;=45,"Senior",Sales_Data[[#This Row],[Age ]]&lt;=60,"Adult",Sales_Data[[#This Row],[Age ]]&gt;=61,"Elderly")</f>
        <v>Senior</v>
      </c>
    </row>
    <row r="74" spans="1:16" x14ac:dyDescent="0.3">
      <c r="A74" t="s">
        <v>123</v>
      </c>
      <c r="B74" t="s">
        <v>18</v>
      </c>
      <c r="C74" t="s">
        <v>12</v>
      </c>
      <c r="D74" t="s">
        <v>30</v>
      </c>
      <c r="E74" t="s">
        <v>47</v>
      </c>
      <c r="F74">
        <v>42</v>
      </c>
      <c r="G74" s="2">
        <v>778</v>
      </c>
      <c r="H74" s="2">
        <v>32676</v>
      </c>
      <c r="I74" t="s">
        <v>22</v>
      </c>
      <c r="J74" t="s">
        <v>23</v>
      </c>
      <c r="K74" t="str">
        <f>TEXT(Sales_Data[[#This Row],[Order Date]],"yyyy")</f>
        <v>2026</v>
      </c>
      <c r="L74" t="str">
        <f>TEXT(Sales_Data[[#This Row],[Order Date]],"mmmm")</f>
        <v>August</v>
      </c>
      <c r="M74" s="1">
        <v>46249</v>
      </c>
      <c r="N74" s="1">
        <v>38250</v>
      </c>
      <c r="O74">
        <f>DATEDIF(Sales_Data[[#This Row],[Date of Birth]],Sales_Data[[#This Row],[Order Date]],"y")</f>
        <v>21</v>
      </c>
      <c r="P74" t="str" cm="1">
        <f t="array" ref="P74">_xlfn.IFS(Sales_Data[[#This Row],[Age ]]&lt;=30,"Young Adult",Sales_Data[[#This Row],[Age ]]&lt;=45,"Senior",Sales_Data[[#This Row],[Age ]]&lt;=60,"Adult",Sales_Data[[#This Row],[Age ]]&gt;=61,"Elderly")</f>
        <v>Young Adult</v>
      </c>
    </row>
    <row r="75" spans="1:16" x14ac:dyDescent="0.3">
      <c r="A75" t="s">
        <v>124</v>
      </c>
      <c r="B75" t="s">
        <v>25</v>
      </c>
      <c r="C75" t="s">
        <v>26</v>
      </c>
      <c r="D75" t="s">
        <v>20</v>
      </c>
      <c r="E75" t="s">
        <v>43</v>
      </c>
      <c r="F75">
        <v>20</v>
      </c>
      <c r="G75" s="2">
        <v>1439</v>
      </c>
      <c r="H75" s="2">
        <v>28780</v>
      </c>
      <c r="I75" t="s">
        <v>22</v>
      </c>
      <c r="J75" t="s">
        <v>16</v>
      </c>
      <c r="K75" t="str">
        <f>TEXT(Sales_Data[[#This Row],[Order Date]],"yyyy")</f>
        <v>2026</v>
      </c>
      <c r="L75" t="str">
        <f>TEXT(Sales_Data[[#This Row],[Order Date]],"mmmm")</f>
        <v>October</v>
      </c>
      <c r="M75" s="1">
        <v>46307</v>
      </c>
      <c r="N75" s="1">
        <v>37861</v>
      </c>
      <c r="O75">
        <f>DATEDIF(Sales_Data[[#This Row],[Date of Birth]],Sales_Data[[#This Row],[Order Date]],"y")</f>
        <v>23</v>
      </c>
      <c r="P75" t="str" cm="1">
        <f t="array" ref="P75">_xlfn.IFS(Sales_Data[[#This Row],[Age ]]&lt;=30,"Young Adult",Sales_Data[[#This Row],[Age ]]&lt;=45,"Senior",Sales_Data[[#This Row],[Age ]]&lt;=60,"Adult",Sales_Data[[#This Row],[Age ]]&gt;=61,"Elderly")</f>
        <v>Young Adult</v>
      </c>
    </row>
    <row r="76" spans="1:16" x14ac:dyDescent="0.3">
      <c r="A76" t="s">
        <v>125</v>
      </c>
      <c r="B76" t="s">
        <v>29</v>
      </c>
      <c r="C76" t="s">
        <v>19</v>
      </c>
      <c r="D76" t="s">
        <v>66</v>
      </c>
      <c r="E76" t="s">
        <v>77</v>
      </c>
      <c r="F76">
        <v>45</v>
      </c>
      <c r="G76" s="2">
        <v>31</v>
      </c>
      <c r="H76" s="2">
        <v>1395</v>
      </c>
      <c r="I76" t="s">
        <v>15</v>
      </c>
      <c r="J76" t="s">
        <v>16</v>
      </c>
      <c r="K76" t="str">
        <f>TEXT(Sales_Data[[#This Row],[Order Date]],"yyyy")</f>
        <v>2026</v>
      </c>
      <c r="L76" t="str">
        <f>TEXT(Sales_Data[[#This Row],[Order Date]],"mmmm")</f>
        <v>May</v>
      </c>
      <c r="M76" s="1">
        <v>46152</v>
      </c>
      <c r="N76" s="1">
        <v>29668</v>
      </c>
      <c r="O76">
        <f>DATEDIF(Sales_Data[[#This Row],[Date of Birth]],Sales_Data[[#This Row],[Order Date]],"y")</f>
        <v>45</v>
      </c>
      <c r="P76" t="str" cm="1">
        <f t="array" ref="P76">_xlfn.IFS(Sales_Data[[#This Row],[Age ]]&lt;=30,"Young Adult",Sales_Data[[#This Row],[Age ]]&lt;=45,"Senior",Sales_Data[[#This Row],[Age ]]&lt;=60,"Adult",Sales_Data[[#This Row],[Age ]]&gt;=61,"Elderly")</f>
        <v>Senior</v>
      </c>
    </row>
    <row r="77" spans="1:16" x14ac:dyDescent="0.3">
      <c r="A77" t="s">
        <v>126</v>
      </c>
      <c r="B77" t="s">
        <v>11</v>
      </c>
      <c r="C77" t="s">
        <v>19</v>
      </c>
      <c r="D77" t="s">
        <v>30</v>
      </c>
      <c r="E77" t="s">
        <v>31</v>
      </c>
      <c r="F77">
        <v>8</v>
      </c>
      <c r="G77" s="2">
        <v>598</v>
      </c>
      <c r="H77" s="2">
        <v>4784</v>
      </c>
      <c r="I77" t="s">
        <v>22</v>
      </c>
      <c r="J77" t="s">
        <v>34</v>
      </c>
      <c r="K77" t="str">
        <f>TEXT(Sales_Data[[#This Row],[Order Date]],"yyyy")</f>
        <v>2026</v>
      </c>
      <c r="L77" t="str">
        <f>TEXT(Sales_Data[[#This Row],[Order Date]],"mmmm")</f>
        <v>December</v>
      </c>
      <c r="M77" s="1">
        <v>46362</v>
      </c>
      <c r="N77" s="1">
        <v>33202</v>
      </c>
      <c r="O77">
        <f>DATEDIF(Sales_Data[[#This Row],[Date of Birth]],Sales_Data[[#This Row],[Order Date]],"y")</f>
        <v>36</v>
      </c>
      <c r="P77" t="str" cm="1">
        <f t="array" ref="P77">_xlfn.IFS(Sales_Data[[#This Row],[Age ]]&lt;=30,"Young Adult",Sales_Data[[#This Row],[Age ]]&lt;=45,"Senior",Sales_Data[[#This Row],[Age ]]&lt;=60,"Adult",Sales_Data[[#This Row],[Age ]]&gt;=61,"Elderly")</f>
        <v>Senior</v>
      </c>
    </row>
    <row r="78" spans="1:16" x14ac:dyDescent="0.3">
      <c r="A78" t="s">
        <v>127</v>
      </c>
      <c r="B78" t="s">
        <v>11</v>
      </c>
      <c r="C78" t="s">
        <v>46</v>
      </c>
      <c r="D78" t="s">
        <v>66</v>
      </c>
      <c r="E78" t="s">
        <v>67</v>
      </c>
      <c r="F78">
        <v>13</v>
      </c>
      <c r="G78" s="2">
        <v>20</v>
      </c>
      <c r="H78" s="2">
        <v>260</v>
      </c>
      <c r="I78" t="s">
        <v>15</v>
      </c>
      <c r="J78" t="s">
        <v>16</v>
      </c>
      <c r="K78" t="str">
        <f>TEXT(Sales_Data[[#This Row],[Order Date]],"yyyy")</f>
        <v>2026</v>
      </c>
      <c r="L78" t="str">
        <f>TEXT(Sales_Data[[#This Row],[Order Date]],"mmmm")</f>
        <v>April</v>
      </c>
      <c r="M78" s="1">
        <v>46124</v>
      </c>
      <c r="N78" s="1">
        <v>26893</v>
      </c>
      <c r="O78">
        <f>DATEDIF(Sales_Data[[#This Row],[Date of Birth]],Sales_Data[[#This Row],[Order Date]],"y")</f>
        <v>52</v>
      </c>
      <c r="P78" t="str" cm="1">
        <f t="array" ref="P78">_xlfn.IFS(Sales_Data[[#This Row],[Age ]]&lt;=30,"Young Adult",Sales_Data[[#This Row],[Age ]]&lt;=45,"Senior",Sales_Data[[#This Row],[Age ]]&lt;=60,"Adult",Sales_Data[[#This Row],[Age ]]&gt;=61,"Elderly")</f>
        <v>Adult</v>
      </c>
    </row>
    <row r="79" spans="1:16" x14ac:dyDescent="0.3">
      <c r="A79" t="s">
        <v>128</v>
      </c>
      <c r="B79" t="s">
        <v>11</v>
      </c>
      <c r="C79" t="s">
        <v>55</v>
      </c>
      <c r="D79" t="s">
        <v>30</v>
      </c>
      <c r="E79" t="s">
        <v>31</v>
      </c>
      <c r="F79">
        <v>3</v>
      </c>
      <c r="G79" s="2">
        <v>105</v>
      </c>
      <c r="H79" s="2">
        <v>315</v>
      </c>
      <c r="I79" t="s">
        <v>15</v>
      </c>
      <c r="J79" t="s">
        <v>23</v>
      </c>
      <c r="K79" t="str">
        <f>TEXT(Sales_Data[[#This Row],[Order Date]],"yyyy")</f>
        <v>2026</v>
      </c>
      <c r="L79" t="str">
        <f>TEXT(Sales_Data[[#This Row],[Order Date]],"mmmm")</f>
        <v>September</v>
      </c>
      <c r="M79" s="1">
        <v>46275</v>
      </c>
      <c r="N79" s="1">
        <v>35286</v>
      </c>
      <c r="O79">
        <f>DATEDIF(Sales_Data[[#This Row],[Date of Birth]],Sales_Data[[#This Row],[Order Date]],"y")</f>
        <v>30</v>
      </c>
      <c r="P79" t="str" cm="1">
        <f t="array" ref="P79">_xlfn.IFS(Sales_Data[[#This Row],[Age ]]&lt;=30,"Young Adult",Sales_Data[[#This Row],[Age ]]&lt;=45,"Senior",Sales_Data[[#This Row],[Age ]]&lt;=60,"Adult",Sales_Data[[#This Row],[Age ]]&gt;=61,"Elderly")</f>
        <v>Young Adult</v>
      </c>
    </row>
    <row r="80" spans="1:16" x14ac:dyDescent="0.3">
      <c r="A80" t="s">
        <v>129</v>
      </c>
      <c r="B80" t="s">
        <v>18</v>
      </c>
      <c r="C80" t="s">
        <v>46</v>
      </c>
      <c r="D80" t="s">
        <v>66</v>
      </c>
      <c r="E80" t="s">
        <v>70</v>
      </c>
      <c r="F80">
        <v>31</v>
      </c>
      <c r="G80" s="2">
        <v>30</v>
      </c>
      <c r="H80" s="2">
        <v>930</v>
      </c>
      <c r="I80" t="s">
        <v>22</v>
      </c>
      <c r="J80" t="s">
        <v>23</v>
      </c>
      <c r="K80" t="str">
        <f>TEXT(Sales_Data[[#This Row],[Order Date]],"yyyy")</f>
        <v>2026</v>
      </c>
      <c r="L80" t="str">
        <f>TEXT(Sales_Data[[#This Row],[Order Date]],"mmmm")</f>
        <v>June</v>
      </c>
      <c r="M80" s="1">
        <v>46179</v>
      </c>
      <c r="N80" s="1">
        <v>24882</v>
      </c>
      <c r="O80">
        <f>DATEDIF(Sales_Data[[#This Row],[Date of Birth]],Sales_Data[[#This Row],[Order Date]],"y")</f>
        <v>58</v>
      </c>
      <c r="P80" t="str" cm="1">
        <f t="array" ref="P80">_xlfn.IFS(Sales_Data[[#This Row],[Age ]]&lt;=30,"Young Adult",Sales_Data[[#This Row],[Age ]]&lt;=45,"Senior",Sales_Data[[#This Row],[Age ]]&lt;=60,"Adult",Sales_Data[[#This Row],[Age ]]&gt;=61,"Elderly")</f>
        <v>Adult</v>
      </c>
    </row>
    <row r="81" spans="1:16" x14ac:dyDescent="0.3">
      <c r="A81" t="s">
        <v>130</v>
      </c>
      <c r="B81" t="s">
        <v>18</v>
      </c>
      <c r="C81" t="s">
        <v>65</v>
      </c>
      <c r="D81" t="s">
        <v>13</v>
      </c>
      <c r="E81" t="s">
        <v>63</v>
      </c>
      <c r="F81">
        <v>32</v>
      </c>
      <c r="G81" s="2">
        <v>251</v>
      </c>
      <c r="H81" s="2">
        <v>8032</v>
      </c>
      <c r="I81" t="s">
        <v>15</v>
      </c>
      <c r="J81" t="s">
        <v>16</v>
      </c>
      <c r="K81" t="str">
        <f>TEXT(Sales_Data[[#This Row],[Order Date]],"yyyy")</f>
        <v>2026</v>
      </c>
      <c r="L81" t="str">
        <f>TEXT(Sales_Data[[#This Row],[Order Date]],"mmmm")</f>
        <v>October</v>
      </c>
      <c r="M81" s="1">
        <v>46316</v>
      </c>
      <c r="N81" s="1">
        <v>24493</v>
      </c>
      <c r="O81">
        <f>DATEDIF(Sales_Data[[#This Row],[Date of Birth]],Sales_Data[[#This Row],[Order Date]],"y")</f>
        <v>59</v>
      </c>
      <c r="P81" t="str" cm="1">
        <f t="array" ref="P81">_xlfn.IFS(Sales_Data[[#This Row],[Age ]]&lt;=30,"Young Adult",Sales_Data[[#This Row],[Age ]]&lt;=45,"Senior",Sales_Data[[#This Row],[Age ]]&lt;=60,"Adult",Sales_Data[[#This Row],[Age ]]&gt;=61,"Elderly")</f>
        <v>Adult</v>
      </c>
    </row>
    <row r="82" spans="1:16" x14ac:dyDescent="0.3">
      <c r="A82" t="s">
        <v>131</v>
      </c>
      <c r="B82" t="s">
        <v>25</v>
      </c>
      <c r="C82" t="s">
        <v>19</v>
      </c>
      <c r="D82" t="s">
        <v>66</v>
      </c>
      <c r="E82" t="s">
        <v>67</v>
      </c>
      <c r="F82">
        <v>16</v>
      </c>
      <c r="G82" s="2">
        <v>9</v>
      </c>
      <c r="H82" s="2">
        <v>144</v>
      </c>
      <c r="I82" t="s">
        <v>22</v>
      </c>
      <c r="J82" t="s">
        <v>34</v>
      </c>
      <c r="K82" t="str">
        <f>TEXT(Sales_Data[[#This Row],[Order Date]],"yyyy")</f>
        <v>2026</v>
      </c>
      <c r="L82" t="str">
        <f>TEXT(Sales_Data[[#This Row],[Order Date]],"mmmm")</f>
        <v>September</v>
      </c>
      <c r="M82" s="1">
        <v>46290</v>
      </c>
      <c r="N82" s="1">
        <v>34577</v>
      </c>
      <c r="O82">
        <f>DATEDIF(Sales_Data[[#This Row],[Date of Birth]],Sales_Data[[#This Row],[Order Date]],"y")</f>
        <v>32</v>
      </c>
      <c r="P82" t="str" cm="1">
        <f t="array" ref="P82">_xlfn.IFS(Sales_Data[[#This Row],[Age ]]&lt;=30,"Young Adult",Sales_Data[[#This Row],[Age ]]&lt;=45,"Senior",Sales_Data[[#This Row],[Age ]]&lt;=60,"Adult",Sales_Data[[#This Row],[Age ]]&gt;=61,"Elderly")</f>
        <v>Senior</v>
      </c>
    </row>
    <row r="83" spans="1:16" x14ac:dyDescent="0.3">
      <c r="A83" t="s">
        <v>132</v>
      </c>
      <c r="B83" t="s">
        <v>18</v>
      </c>
      <c r="C83" t="s">
        <v>12</v>
      </c>
      <c r="D83" t="s">
        <v>20</v>
      </c>
      <c r="E83" t="s">
        <v>36</v>
      </c>
      <c r="F83">
        <v>38</v>
      </c>
      <c r="G83" s="2">
        <v>958</v>
      </c>
      <c r="H83" s="2">
        <v>36404</v>
      </c>
      <c r="I83" t="s">
        <v>15</v>
      </c>
      <c r="J83" t="s">
        <v>16</v>
      </c>
      <c r="K83" t="str">
        <f>TEXT(Sales_Data[[#This Row],[Order Date]],"yyyy")</f>
        <v>2026</v>
      </c>
      <c r="L83" t="str">
        <f>TEXT(Sales_Data[[#This Row],[Order Date]],"mmmm")</f>
        <v>May</v>
      </c>
      <c r="M83" s="1">
        <v>46161</v>
      </c>
      <c r="N83" s="1">
        <v>27476</v>
      </c>
      <c r="O83">
        <f>DATEDIF(Sales_Data[[#This Row],[Date of Birth]],Sales_Data[[#This Row],[Order Date]],"y")</f>
        <v>51</v>
      </c>
      <c r="P83" t="str" cm="1">
        <f t="array" ref="P83">_xlfn.IFS(Sales_Data[[#This Row],[Age ]]&lt;=30,"Young Adult",Sales_Data[[#This Row],[Age ]]&lt;=45,"Senior",Sales_Data[[#This Row],[Age ]]&lt;=60,"Adult",Sales_Data[[#This Row],[Age ]]&gt;=61,"Elderly")</f>
        <v>Adult</v>
      </c>
    </row>
    <row r="84" spans="1:16" x14ac:dyDescent="0.3">
      <c r="A84" t="s">
        <v>133</v>
      </c>
      <c r="B84" t="s">
        <v>11</v>
      </c>
      <c r="C84" t="s">
        <v>12</v>
      </c>
      <c r="D84" t="s">
        <v>30</v>
      </c>
      <c r="E84" t="s">
        <v>31</v>
      </c>
      <c r="F84">
        <v>43</v>
      </c>
      <c r="G84" s="2">
        <v>133</v>
      </c>
      <c r="H84" s="2">
        <v>5719</v>
      </c>
      <c r="I84" t="s">
        <v>15</v>
      </c>
      <c r="J84" t="s">
        <v>23</v>
      </c>
      <c r="K84" t="str">
        <f>TEXT(Sales_Data[[#This Row],[Order Date]],"yyyy")</f>
        <v>2026</v>
      </c>
      <c r="L84" t="str">
        <f>TEXT(Sales_Data[[#This Row],[Order Date]],"mmmm")</f>
        <v>March</v>
      </c>
      <c r="M84" s="1">
        <v>46089</v>
      </c>
      <c r="N84" s="1">
        <v>36408</v>
      </c>
      <c r="O84">
        <f>DATEDIF(Sales_Data[[#This Row],[Date of Birth]],Sales_Data[[#This Row],[Order Date]],"y")</f>
        <v>26</v>
      </c>
      <c r="P84" t="str" cm="1">
        <f t="array" ref="P84">_xlfn.IFS(Sales_Data[[#This Row],[Age ]]&lt;=30,"Young Adult",Sales_Data[[#This Row],[Age ]]&lt;=45,"Senior",Sales_Data[[#This Row],[Age ]]&lt;=60,"Adult",Sales_Data[[#This Row],[Age ]]&gt;=61,"Elderly")</f>
        <v>Young Adult</v>
      </c>
    </row>
    <row r="85" spans="1:16" x14ac:dyDescent="0.3">
      <c r="A85" t="s">
        <v>134</v>
      </c>
      <c r="B85" t="s">
        <v>18</v>
      </c>
      <c r="C85" t="s">
        <v>19</v>
      </c>
      <c r="D85" t="s">
        <v>20</v>
      </c>
      <c r="E85" t="s">
        <v>104</v>
      </c>
      <c r="F85">
        <v>45</v>
      </c>
      <c r="G85" s="2">
        <v>1296</v>
      </c>
      <c r="H85" s="2">
        <v>58320</v>
      </c>
      <c r="I85" t="s">
        <v>22</v>
      </c>
      <c r="J85" t="s">
        <v>16</v>
      </c>
      <c r="K85" t="str">
        <f>TEXT(Sales_Data[[#This Row],[Order Date]],"yyyy")</f>
        <v>2026</v>
      </c>
      <c r="L85" t="str">
        <f>TEXT(Sales_Data[[#This Row],[Order Date]],"mmmm")</f>
        <v>August</v>
      </c>
      <c r="M85" s="1">
        <v>46244</v>
      </c>
      <c r="N85" s="1">
        <v>28484</v>
      </c>
      <c r="O85">
        <f>DATEDIF(Sales_Data[[#This Row],[Date of Birth]],Sales_Data[[#This Row],[Order Date]],"y")</f>
        <v>48</v>
      </c>
      <c r="P85" t="str" cm="1">
        <f t="array" ref="P85">_xlfn.IFS(Sales_Data[[#This Row],[Age ]]&lt;=30,"Young Adult",Sales_Data[[#This Row],[Age ]]&lt;=45,"Senior",Sales_Data[[#This Row],[Age ]]&lt;=60,"Adult",Sales_Data[[#This Row],[Age ]]&gt;=61,"Elderly")</f>
        <v>Adult</v>
      </c>
    </row>
    <row r="86" spans="1:16" x14ac:dyDescent="0.3">
      <c r="A86" t="s">
        <v>135</v>
      </c>
      <c r="B86" t="s">
        <v>11</v>
      </c>
      <c r="C86" t="s">
        <v>42</v>
      </c>
      <c r="D86" t="s">
        <v>66</v>
      </c>
      <c r="E86" t="s">
        <v>70</v>
      </c>
      <c r="F86">
        <v>5</v>
      </c>
      <c r="G86" s="2">
        <v>45</v>
      </c>
      <c r="H86" s="2">
        <v>225</v>
      </c>
      <c r="I86" t="s">
        <v>15</v>
      </c>
      <c r="J86" t="s">
        <v>16</v>
      </c>
      <c r="K86" t="str">
        <f>TEXT(Sales_Data[[#This Row],[Order Date]],"yyyy")</f>
        <v>2026</v>
      </c>
      <c r="L86" t="str">
        <f>TEXT(Sales_Data[[#This Row],[Order Date]],"mmmm")</f>
        <v>April</v>
      </c>
      <c r="M86" s="1">
        <v>46121</v>
      </c>
      <c r="N86" s="1">
        <v>25050</v>
      </c>
      <c r="O86">
        <f>DATEDIF(Sales_Data[[#This Row],[Date of Birth]],Sales_Data[[#This Row],[Order Date]],"y")</f>
        <v>57</v>
      </c>
      <c r="P86" t="str" cm="1">
        <f t="array" ref="P86">_xlfn.IFS(Sales_Data[[#This Row],[Age ]]&lt;=30,"Young Adult",Sales_Data[[#This Row],[Age ]]&lt;=45,"Senior",Sales_Data[[#This Row],[Age ]]&lt;=60,"Adult",Sales_Data[[#This Row],[Age ]]&gt;=61,"Elderly")</f>
        <v>Adult</v>
      </c>
    </row>
    <row r="87" spans="1:16" x14ac:dyDescent="0.3">
      <c r="A87" t="s">
        <v>136</v>
      </c>
      <c r="B87" t="s">
        <v>11</v>
      </c>
      <c r="C87" t="s">
        <v>46</v>
      </c>
      <c r="D87" t="s">
        <v>30</v>
      </c>
      <c r="E87" t="s">
        <v>38</v>
      </c>
      <c r="F87">
        <v>18</v>
      </c>
      <c r="G87" s="2">
        <v>195</v>
      </c>
      <c r="H87" s="2">
        <v>3510</v>
      </c>
      <c r="I87" t="s">
        <v>22</v>
      </c>
      <c r="J87" t="s">
        <v>34</v>
      </c>
      <c r="K87" t="str">
        <f>TEXT(Sales_Data[[#This Row],[Order Date]],"yyyy")</f>
        <v>2026</v>
      </c>
      <c r="L87" t="str">
        <f>TEXT(Sales_Data[[#This Row],[Order Date]],"mmmm")</f>
        <v>February</v>
      </c>
      <c r="M87" s="1">
        <v>46055</v>
      </c>
      <c r="N87" s="1">
        <v>37756</v>
      </c>
      <c r="O87">
        <f>DATEDIF(Sales_Data[[#This Row],[Date of Birth]],Sales_Data[[#This Row],[Order Date]],"y")</f>
        <v>22</v>
      </c>
      <c r="P87" t="str" cm="1">
        <f t="array" ref="P87">_xlfn.IFS(Sales_Data[[#This Row],[Age ]]&lt;=30,"Young Adult",Sales_Data[[#This Row],[Age ]]&lt;=45,"Senior",Sales_Data[[#This Row],[Age ]]&lt;=60,"Adult",Sales_Data[[#This Row],[Age ]]&gt;=61,"Elderly")</f>
        <v>Young Adult</v>
      </c>
    </row>
    <row r="88" spans="1:16" x14ac:dyDescent="0.3">
      <c r="A88" t="s">
        <v>137</v>
      </c>
      <c r="B88" t="s">
        <v>29</v>
      </c>
      <c r="C88" t="s">
        <v>55</v>
      </c>
      <c r="D88" t="s">
        <v>13</v>
      </c>
      <c r="E88" t="s">
        <v>63</v>
      </c>
      <c r="F88">
        <v>45</v>
      </c>
      <c r="G88" s="2">
        <v>722</v>
      </c>
      <c r="H88" s="2">
        <v>32490</v>
      </c>
      <c r="I88" t="s">
        <v>22</v>
      </c>
      <c r="J88" t="s">
        <v>23</v>
      </c>
      <c r="K88" t="str">
        <f>TEXT(Sales_Data[[#This Row],[Order Date]],"yyyy")</f>
        <v>2026</v>
      </c>
      <c r="L88" t="str">
        <f>TEXT(Sales_Data[[#This Row],[Order Date]],"mmmm")</f>
        <v>December</v>
      </c>
      <c r="M88" s="1">
        <v>46369</v>
      </c>
      <c r="N88" s="1">
        <v>27557</v>
      </c>
      <c r="O88">
        <f>DATEDIF(Sales_Data[[#This Row],[Date of Birth]],Sales_Data[[#This Row],[Order Date]],"y")</f>
        <v>51</v>
      </c>
      <c r="P88" t="str" cm="1">
        <f t="array" ref="P88">_xlfn.IFS(Sales_Data[[#This Row],[Age ]]&lt;=30,"Young Adult",Sales_Data[[#This Row],[Age ]]&lt;=45,"Senior",Sales_Data[[#This Row],[Age ]]&lt;=60,"Adult",Sales_Data[[#This Row],[Age ]]&gt;=61,"Elderly")</f>
        <v>Adult</v>
      </c>
    </row>
    <row r="89" spans="1:16" x14ac:dyDescent="0.3">
      <c r="A89" t="s">
        <v>138</v>
      </c>
      <c r="B89" t="s">
        <v>18</v>
      </c>
      <c r="C89" t="s">
        <v>12</v>
      </c>
      <c r="D89" t="s">
        <v>13</v>
      </c>
      <c r="E89" t="s">
        <v>63</v>
      </c>
      <c r="F89">
        <v>48</v>
      </c>
      <c r="G89" s="2">
        <v>760</v>
      </c>
      <c r="H89" s="2">
        <v>36480</v>
      </c>
      <c r="I89" t="s">
        <v>15</v>
      </c>
      <c r="J89" t="s">
        <v>16</v>
      </c>
      <c r="K89" t="str">
        <f>TEXT(Sales_Data[[#This Row],[Order Date]],"yyyy")</f>
        <v>2026</v>
      </c>
      <c r="L89" t="str">
        <f>TEXT(Sales_Data[[#This Row],[Order Date]],"mmmm")</f>
        <v>October</v>
      </c>
      <c r="M89" s="1">
        <v>46304</v>
      </c>
      <c r="N89" s="1">
        <v>37939</v>
      </c>
      <c r="O89">
        <f>DATEDIF(Sales_Data[[#This Row],[Date of Birth]],Sales_Data[[#This Row],[Order Date]],"y")</f>
        <v>22</v>
      </c>
      <c r="P89" t="str" cm="1">
        <f t="array" ref="P89">_xlfn.IFS(Sales_Data[[#This Row],[Age ]]&lt;=30,"Young Adult",Sales_Data[[#This Row],[Age ]]&lt;=45,"Senior",Sales_Data[[#This Row],[Age ]]&lt;=60,"Adult",Sales_Data[[#This Row],[Age ]]&gt;=61,"Elderly")</f>
        <v>Young Adult</v>
      </c>
    </row>
    <row r="90" spans="1:16" x14ac:dyDescent="0.3">
      <c r="A90" t="s">
        <v>139</v>
      </c>
      <c r="B90" t="s">
        <v>25</v>
      </c>
      <c r="C90" t="s">
        <v>46</v>
      </c>
      <c r="D90" t="s">
        <v>13</v>
      </c>
      <c r="E90" t="s">
        <v>40</v>
      </c>
      <c r="F90">
        <v>37</v>
      </c>
      <c r="G90" s="2">
        <v>182</v>
      </c>
      <c r="H90" s="2">
        <v>6734</v>
      </c>
      <c r="I90" t="s">
        <v>15</v>
      </c>
      <c r="J90" t="s">
        <v>16</v>
      </c>
      <c r="K90" t="str">
        <f>TEXT(Sales_Data[[#This Row],[Order Date]],"yyyy")</f>
        <v>2026</v>
      </c>
      <c r="L90" t="str">
        <f>TEXT(Sales_Data[[#This Row],[Order Date]],"mmmm")</f>
        <v>March</v>
      </c>
      <c r="M90" s="1">
        <v>46097</v>
      </c>
      <c r="N90" s="1">
        <v>25397</v>
      </c>
      <c r="O90">
        <f>DATEDIF(Sales_Data[[#This Row],[Date of Birth]],Sales_Data[[#This Row],[Order Date]],"y")</f>
        <v>56</v>
      </c>
      <c r="P90" t="str" cm="1">
        <f t="array" ref="P90">_xlfn.IFS(Sales_Data[[#This Row],[Age ]]&lt;=30,"Young Adult",Sales_Data[[#This Row],[Age ]]&lt;=45,"Senior",Sales_Data[[#This Row],[Age ]]&lt;=60,"Adult",Sales_Data[[#This Row],[Age ]]&gt;=61,"Elderly")</f>
        <v>Adult</v>
      </c>
    </row>
    <row r="91" spans="1:16" x14ac:dyDescent="0.3">
      <c r="A91" t="s">
        <v>140</v>
      </c>
      <c r="B91" t="s">
        <v>29</v>
      </c>
      <c r="C91" t="s">
        <v>26</v>
      </c>
      <c r="D91" t="s">
        <v>20</v>
      </c>
      <c r="E91" t="s">
        <v>104</v>
      </c>
      <c r="F91">
        <v>6</v>
      </c>
      <c r="G91" s="2">
        <v>1042</v>
      </c>
      <c r="H91" s="2">
        <v>6252</v>
      </c>
      <c r="I91" t="s">
        <v>15</v>
      </c>
      <c r="J91" t="s">
        <v>23</v>
      </c>
      <c r="K91" t="str">
        <f>TEXT(Sales_Data[[#This Row],[Order Date]],"yyyy")</f>
        <v>2026</v>
      </c>
      <c r="L91" t="str">
        <f>TEXT(Sales_Data[[#This Row],[Order Date]],"mmmm")</f>
        <v>June</v>
      </c>
      <c r="M91" s="1">
        <v>46187</v>
      </c>
      <c r="N91" s="1">
        <v>29970</v>
      </c>
      <c r="O91">
        <f>DATEDIF(Sales_Data[[#This Row],[Date of Birth]],Sales_Data[[#This Row],[Order Date]],"y")</f>
        <v>44</v>
      </c>
      <c r="P91" t="str" cm="1">
        <f t="array" ref="P91">_xlfn.IFS(Sales_Data[[#This Row],[Age ]]&lt;=30,"Young Adult",Sales_Data[[#This Row],[Age ]]&lt;=45,"Senior",Sales_Data[[#This Row],[Age ]]&lt;=60,"Adult",Sales_Data[[#This Row],[Age ]]&gt;=61,"Elderly")</f>
        <v>Senior</v>
      </c>
    </row>
    <row r="92" spans="1:16" x14ac:dyDescent="0.3">
      <c r="A92" t="s">
        <v>141</v>
      </c>
      <c r="B92" t="s">
        <v>25</v>
      </c>
      <c r="C92" t="s">
        <v>69</v>
      </c>
      <c r="D92" t="s">
        <v>66</v>
      </c>
      <c r="E92" t="s">
        <v>70</v>
      </c>
      <c r="F92">
        <v>45</v>
      </c>
      <c r="G92" s="2">
        <v>33</v>
      </c>
      <c r="H92" s="2">
        <v>1485</v>
      </c>
      <c r="I92" t="s">
        <v>22</v>
      </c>
      <c r="J92" t="s">
        <v>23</v>
      </c>
      <c r="K92" t="str">
        <f>TEXT(Sales_Data[[#This Row],[Order Date]],"yyyy")</f>
        <v>2026</v>
      </c>
      <c r="L92" t="str">
        <f>TEXT(Sales_Data[[#This Row],[Order Date]],"mmmm")</f>
        <v>May</v>
      </c>
      <c r="M92" s="1">
        <v>46164</v>
      </c>
      <c r="N92" s="1">
        <v>28297</v>
      </c>
      <c r="O92">
        <f>DATEDIF(Sales_Data[[#This Row],[Date of Birth]],Sales_Data[[#This Row],[Order Date]],"y")</f>
        <v>48</v>
      </c>
      <c r="P92" t="str" cm="1">
        <f t="array" ref="P92">_xlfn.IFS(Sales_Data[[#This Row],[Age ]]&lt;=30,"Young Adult",Sales_Data[[#This Row],[Age ]]&lt;=45,"Senior",Sales_Data[[#This Row],[Age ]]&lt;=60,"Adult",Sales_Data[[#This Row],[Age ]]&gt;=61,"Elderly")</f>
        <v>Adult</v>
      </c>
    </row>
    <row r="93" spans="1:16" x14ac:dyDescent="0.3">
      <c r="A93" t="s">
        <v>142</v>
      </c>
      <c r="B93" t="s">
        <v>18</v>
      </c>
      <c r="C93" t="s">
        <v>55</v>
      </c>
      <c r="D93" t="s">
        <v>66</v>
      </c>
      <c r="E93" t="s">
        <v>77</v>
      </c>
      <c r="F93">
        <v>21</v>
      </c>
      <c r="G93" s="2">
        <v>9</v>
      </c>
      <c r="H93" s="2">
        <v>189</v>
      </c>
      <c r="I93" t="s">
        <v>22</v>
      </c>
      <c r="J93" t="s">
        <v>23</v>
      </c>
      <c r="K93" t="str">
        <f>TEXT(Sales_Data[[#This Row],[Order Date]],"yyyy")</f>
        <v>2026</v>
      </c>
      <c r="L93" t="str">
        <f>TEXT(Sales_Data[[#This Row],[Order Date]],"mmmm")</f>
        <v>July</v>
      </c>
      <c r="M93" s="1">
        <v>46231</v>
      </c>
      <c r="N93" s="1">
        <v>31171</v>
      </c>
      <c r="O93">
        <f>DATEDIF(Sales_Data[[#This Row],[Date of Birth]],Sales_Data[[#This Row],[Order Date]],"y")</f>
        <v>41</v>
      </c>
      <c r="P93" t="str" cm="1">
        <f t="array" ref="P93">_xlfn.IFS(Sales_Data[[#This Row],[Age ]]&lt;=30,"Young Adult",Sales_Data[[#This Row],[Age ]]&lt;=45,"Senior",Sales_Data[[#This Row],[Age ]]&lt;=60,"Adult",Sales_Data[[#This Row],[Age ]]&gt;=61,"Elderly")</f>
        <v>Senior</v>
      </c>
    </row>
    <row r="94" spans="1:16" x14ac:dyDescent="0.3">
      <c r="A94" t="s">
        <v>143</v>
      </c>
      <c r="B94" t="s">
        <v>25</v>
      </c>
      <c r="C94" t="s">
        <v>69</v>
      </c>
      <c r="D94" t="s">
        <v>30</v>
      </c>
      <c r="E94" t="s">
        <v>61</v>
      </c>
      <c r="F94">
        <v>24</v>
      </c>
      <c r="G94" s="2">
        <v>687</v>
      </c>
      <c r="H94" s="2">
        <v>16488</v>
      </c>
      <c r="I94" t="s">
        <v>15</v>
      </c>
      <c r="J94" t="s">
        <v>34</v>
      </c>
      <c r="K94" t="str">
        <f>TEXT(Sales_Data[[#This Row],[Order Date]],"yyyy")</f>
        <v>2026</v>
      </c>
      <c r="L94" t="str">
        <f>TEXT(Sales_Data[[#This Row],[Order Date]],"mmmm")</f>
        <v>August</v>
      </c>
      <c r="M94" s="1">
        <v>46255</v>
      </c>
      <c r="N94" s="1">
        <v>34158</v>
      </c>
      <c r="O94">
        <f>DATEDIF(Sales_Data[[#This Row],[Date of Birth]],Sales_Data[[#This Row],[Order Date]],"y")</f>
        <v>33</v>
      </c>
      <c r="P94" t="str" cm="1">
        <f t="array" ref="P94">_xlfn.IFS(Sales_Data[[#This Row],[Age ]]&lt;=30,"Young Adult",Sales_Data[[#This Row],[Age ]]&lt;=45,"Senior",Sales_Data[[#This Row],[Age ]]&lt;=60,"Adult",Sales_Data[[#This Row],[Age ]]&gt;=61,"Elderly")</f>
        <v>Senior</v>
      </c>
    </row>
    <row r="95" spans="1:16" x14ac:dyDescent="0.3">
      <c r="A95" t="s">
        <v>144</v>
      </c>
      <c r="B95" t="s">
        <v>18</v>
      </c>
      <c r="C95" t="s">
        <v>19</v>
      </c>
      <c r="D95" t="s">
        <v>30</v>
      </c>
      <c r="E95" t="s">
        <v>31</v>
      </c>
      <c r="F95">
        <v>29</v>
      </c>
      <c r="G95" s="2">
        <v>765</v>
      </c>
      <c r="H95" s="2">
        <v>22185</v>
      </c>
      <c r="I95" t="s">
        <v>15</v>
      </c>
      <c r="J95" t="s">
        <v>34</v>
      </c>
      <c r="K95" t="str">
        <f>TEXT(Sales_Data[[#This Row],[Order Date]],"yyyy")</f>
        <v>2026</v>
      </c>
      <c r="L95" t="str">
        <f>TEXT(Sales_Data[[#This Row],[Order Date]],"mmmm")</f>
        <v>August</v>
      </c>
      <c r="M95" s="1">
        <v>46238</v>
      </c>
      <c r="N95" s="1">
        <v>37409</v>
      </c>
      <c r="O95">
        <f>DATEDIF(Sales_Data[[#This Row],[Date of Birth]],Sales_Data[[#This Row],[Order Date]],"y")</f>
        <v>24</v>
      </c>
      <c r="P95" t="str" cm="1">
        <f t="array" ref="P95">_xlfn.IFS(Sales_Data[[#This Row],[Age ]]&lt;=30,"Young Adult",Sales_Data[[#This Row],[Age ]]&lt;=45,"Senior",Sales_Data[[#This Row],[Age ]]&lt;=60,"Adult",Sales_Data[[#This Row],[Age ]]&gt;=61,"Elderly")</f>
        <v>Young Adult</v>
      </c>
    </row>
    <row r="96" spans="1:16" x14ac:dyDescent="0.3">
      <c r="A96" t="s">
        <v>145</v>
      </c>
      <c r="B96" t="s">
        <v>18</v>
      </c>
      <c r="C96" t="s">
        <v>55</v>
      </c>
      <c r="D96" t="s">
        <v>13</v>
      </c>
      <c r="E96" t="s">
        <v>49</v>
      </c>
      <c r="F96">
        <v>27</v>
      </c>
      <c r="G96" s="2">
        <v>290</v>
      </c>
      <c r="H96" s="2">
        <v>7830</v>
      </c>
      <c r="I96" t="s">
        <v>15</v>
      </c>
      <c r="J96" t="s">
        <v>16</v>
      </c>
      <c r="K96" t="str">
        <f>TEXT(Sales_Data[[#This Row],[Order Date]],"yyyy")</f>
        <v>2026</v>
      </c>
      <c r="L96" t="str">
        <f>TEXT(Sales_Data[[#This Row],[Order Date]],"mmmm")</f>
        <v>April</v>
      </c>
      <c r="M96" s="1">
        <v>46139</v>
      </c>
      <c r="N96" s="1">
        <v>29720</v>
      </c>
      <c r="O96">
        <f>DATEDIF(Sales_Data[[#This Row],[Date of Birth]],Sales_Data[[#This Row],[Order Date]],"y")</f>
        <v>44</v>
      </c>
      <c r="P96" t="str" cm="1">
        <f t="array" ref="P96">_xlfn.IFS(Sales_Data[[#This Row],[Age ]]&lt;=30,"Young Adult",Sales_Data[[#This Row],[Age ]]&lt;=45,"Senior",Sales_Data[[#This Row],[Age ]]&lt;=60,"Adult",Sales_Data[[#This Row],[Age ]]&gt;=61,"Elderly")</f>
        <v>Senior</v>
      </c>
    </row>
    <row r="97" spans="1:16" x14ac:dyDescent="0.3">
      <c r="A97" t="s">
        <v>146</v>
      </c>
      <c r="B97" t="s">
        <v>29</v>
      </c>
      <c r="C97" t="s">
        <v>42</v>
      </c>
      <c r="D97" t="s">
        <v>30</v>
      </c>
      <c r="E97" t="s">
        <v>47</v>
      </c>
      <c r="F97">
        <v>46</v>
      </c>
      <c r="G97" s="2">
        <v>348</v>
      </c>
      <c r="H97" s="2">
        <v>16008</v>
      </c>
      <c r="I97" t="s">
        <v>22</v>
      </c>
      <c r="J97" t="s">
        <v>34</v>
      </c>
      <c r="K97" t="str">
        <f>TEXT(Sales_Data[[#This Row],[Order Date]],"yyyy")</f>
        <v>2026</v>
      </c>
      <c r="L97" t="str">
        <f>TEXT(Sales_Data[[#This Row],[Order Date]],"mmmm")</f>
        <v>September</v>
      </c>
      <c r="M97" s="1">
        <v>46288</v>
      </c>
      <c r="N97" s="1">
        <v>26407</v>
      </c>
      <c r="O97">
        <f>DATEDIF(Sales_Data[[#This Row],[Date of Birth]],Sales_Data[[#This Row],[Order Date]],"y")</f>
        <v>54</v>
      </c>
      <c r="P97" t="str" cm="1">
        <f t="array" ref="P97">_xlfn.IFS(Sales_Data[[#This Row],[Age ]]&lt;=30,"Young Adult",Sales_Data[[#This Row],[Age ]]&lt;=45,"Senior",Sales_Data[[#This Row],[Age ]]&lt;=60,"Adult",Sales_Data[[#This Row],[Age ]]&gt;=61,"Elderly")</f>
        <v>Adult</v>
      </c>
    </row>
    <row r="98" spans="1:16" x14ac:dyDescent="0.3">
      <c r="A98" t="s">
        <v>147</v>
      </c>
      <c r="B98" t="s">
        <v>11</v>
      </c>
      <c r="C98" t="s">
        <v>12</v>
      </c>
      <c r="D98" t="s">
        <v>30</v>
      </c>
      <c r="E98" t="s">
        <v>47</v>
      </c>
      <c r="F98">
        <v>36</v>
      </c>
      <c r="G98" s="2">
        <v>198</v>
      </c>
      <c r="H98" s="2">
        <v>7128</v>
      </c>
      <c r="I98" t="s">
        <v>22</v>
      </c>
      <c r="J98" t="s">
        <v>34</v>
      </c>
      <c r="K98" t="str">
        <f>TEXT(Sales_Data[[#This Row],[Order Date]],"yyyy")</f>
        <v>2026</v>
      </c>
      <c r="L98" t="str">
        <f>TEXT(Sales_Data[[#This Row],[Order Date]],"mmmm")</f>
        <v>July</v>
      </c>
      <c r="M98" s="1">
        <v>46210</v>
      </c>
      <c r="N98" s="1">
        <v>29808</v>
      </c>
      <c r="O98">
        <f>DATEDIF(Sales_Data[[#This Row],[Date of Birth]],Sales_Data[[#This Row],[Order Date]],"y")</f>
        <v>44</v>
      </c>
      <c r="P98" t="str" cm="1">
        <f t="array" ref="P98">_xlfn.IFS(Sales_Data[[#This Row],[Age ]]&lt;=30,"Young Adult",Sales_Data[[#This Row],[Age ]]&lt;=45,"Senior",Sales_Data[[#This Row],[Age ]]&lt;=60,"Adult",Sales_Data[[#This Row],[Age ]]&gt;=61,"Elderly")</f>
        <v>Senior</v>
      </c>
    </row>
    <row r="99" spans="1:16" x14ac:dyDescent="0.3">
      <c r="A99" t="s">
        <v>148</v>
      </c>
      <c r="B99" t="s">
        <v>29</v>
      </c>
      <c r="C99" t="s">
        <v>55</v>
      </c>
      <c r="D99" t="s">
        <v>66</v>
      </c>
      <c r="E99" t="s">
        <v>92</v>
      </c>
      <c r="F99">
        <v>18</v>
      </c>
      <c r="G99" s="2">
        <v>2</v>
      </c>
      <c r="H99" s="2">
        <v>36</v>
      </c>
      <c r="I99" t="s">
        <v>15</v>
      </c>
      <c r="J99" t="s">
        <v>34</v>
      </c>
      <c r="K99" t="str">
        <f>TEXT(Sales_Data[[#This Row],[Order Date]],"yyyy")</f>
        <v>2026</v>
      </c>
      <c r="L99" t="str">
        <f>TEXT(Sales_Data[[#This Row],[Order Date]],"mmmm")</f>
        <v>May</v>
      </c>
      <c r="M99" s="1">
        <v>46166</v>
      </c>
      <c r="N99" s="1">
        <v>29563</v>
      </c>
      <c r="O99">
        <f>DATEDIF(Sales_Data[[#This Row],[Date of Birth]],Sales_Data[[#This Row],[Order Date]],"y")</f>
        <v>45</v>
      </c>
      <c r="P99" t="str" cm="1">
        <f t="array" ref="P99">_xlfn.IFS(Sales_Data[[#This Row],[Age ]]&lt;=30,"Young Adult",Sales_Data[[#This Row],[Age ]]&lt;=45,"Senior",Sales_Data[[#This Row],[Age ]]&lt;=60,"Adult",Sales_Data[[#This Row],[Age ]]&gt;=61,"Elderly")</f>
        <v>Senior</v>
      </c>
    </row>
    <row r="100" spans="1:16" x14ac:dyDescent="0.3">
      <c r="A100" t="s">
        <v>149</v>
      </c>
      <c r="B100" t="s">
        <v>25</v>
      </c>
      <c r="C100" t="s">
        <v>26</v>
      </c>
      <c r="D100" t="s">
        <v>20</v>
      </c>
      <c r="E100" t="s">
        <v>36</v>
      </c>
      <c r="F100">
        <v>22</v>
      </c>
      <c r="G100" s="2">
        <v>1210</v>
      </c>
      <c r="H100" s="2">
        <v>26620</v>
      </c>
      <c r="I100" t="s">
        <v>15</v>
      </c>
      <c r="J100" t="s">
        <v>16</v>
      </c>
      <c r="K100" t="str">
        <f>TEXT(Sales_Data[[#This Row],[Order Date]],"yyyy")</f>
        <v>2026</v>
      </c>
      <c r="L100" t="str">
        <f>TEXT(Sales_Data[[#This Row],[Order Date]],"mmmm")</f>
        <v>September</v>
      </c>
      <c r="M100" s="1">
        <v>46278</v>
      </c>
      <c r="N100" s="1">
        <v>27175</v>
      </c>
      <c r="O100">
        <f>DATEDIF(Sales_Data[[#This Row],[Date of Birth]],Sales_Data[[#This Row],[Order Date]],"y")</f>
        <v>52</v>
      </c>
      <c r="P100" t="str" cm="1">
        <f t="array" ref="P100">_xlfn.IFS(Sales_Data[[#This Row],[Age ]]&lt;=30,"Young Adult",Sales_Data[[#This Row],[Age ]]&lt;=45,"Senior",Sales_Data[[#This Row],[Age ]]&lt;=60,"Adult",Sales_Data[[#This Row],[Age ]]&gt;=61,"Elderly")</f>
        <v>Adult</v>
      </c>
    </row>
    <row r="101" spans="1:16" x14ac:dyDescent="0.3">
      <c r="A101" t="s">
        <v>150</v>
      </c>
      <c r="B101" t="s">
        <v>29</v>
      </c>
      <c r="C101" t="s">
        <v>55</v>
      </c>
      <c r="D101" t="s">
        <v>30</v>
      </c>
      <c r="E101" t="s">
        <v>61</v>
      </c>
      <c r="F101">
        <v>25</v>
      </c>
      <c r="G101" s="2">
        <v>289</v>
      </c>
      <c r="H101" s="2">
        <v>7225</v>
      </c>
      <c r="I101" t="s">
        <v>22</v>
      </c>
      <c r="J101" t="s">
        <v>34</v>
      </c>
      <c r="K101" t="str">
        <f>TEXT(Sales_Data[[#This Row],[Order Date]],"yyyy")</f>
        <v>2026</v>
      </c>
      <c r="L101" t="str">
        <f>TEXT(Sales_Data[[#This Row],[Order Date]],"mmmm")</f>
        <v>July</v>
      </c>
      <c r="M101" s="1">
        <v>46205</v>
      </c>
      <c r="N101" s="1">
        <v>34723</v>
      </c>
      <c r="O101">
        <f>DATEDIF(Sales_Data[[#This Row],[Date of Birth]],Sales_Data[[#This Row],[Order Date]],"y")</f>
        <v>31</v>
      </c>
      <c r="P101" t="str" cm="1">
        <f t="array" ref="P101">_xlfn.IFS(Sales_Data[[#This Row],[Age ]]&lt;=30,"Young Adult",Sales_Data[[#This Row],[Age ]]&lt;=45,"Senior",Sales_Data[[#This Row],[Age ]]&lt;=60,"Adult",Sales_Data[[#This Row],[Age ]]&gt;=61,"Elderly")</f>
        <v>Senior</v>
      </c>
    </row>
    <row r="102" spans="1:16" x14ac:dyDescent="0.3">
      <c r="A102" t="s">
        <v>151</v>
      </c>
      <c r="B102" t="s">
        <v>29</v>
      </c>
      <c r="C102" t="s">
        <v>12</v>
      </c>
      <c r="D102" t="s">
        <v>30</v>
      </c>
      <c r="E102" t="s">
        <v>47</v>
      </c>
      <c r="F102">
        <v>3</v>
      </c>
      <c r="G102" s="2">
        <v>179</v>
      </c>
      <c r="H102" s="2">
        <v>537</v>
      </c>
      <c r="I102" t="s">
        <v>22</v>
      </c>
      <c r="J102" t="s">
        <v>23</v>
      </c>
      <c r="K102" t="str">
        <f>TEXT(Sales_Data[[#This Row],[Order Date]],"yyyy")</f>
        <v>2026</v>
      </c>
      <c r="L102" t="str">
        <f>TEXT(Sales_Data[[#This Row],[Order Date]],"mmmm")</f>
        <v>September</v>
      </c>
      <c r="M102" s="1">
        <v>46284</v>
      </c>
      <c r="N102" s="1">
        <v>28117</v>
      </c>
      <c r="O102">
        <f>DATEDIF(Sales_Data[[#This Row],[Date of Birth]],Sales_Data[[#This Row],[Order Date]],"y")</f>
        <v>49</v>
      </c>
      <c r="P102" t="str" cm="1">
        <f t="array" ref="P102">_xlfn.IFS(Sales_Data[[#This Row],[Age ]]&lt;=30,"Young Adult",Sales_Data[[#This Row],[Age ]]&lt;=45,"Senior",Sales_Data[[#This Row],[Age ]]&lt;=60,"Adult",Sales_Data[[#This Row],[Age ]]&gt;=61,"Elderly")</f>
        <v>Adult</v>
      </c>
    </row>
    <row r="103" spans="1:16" x14ac:dyDescent="0.3">
      <c r="A103" t="s">
        <v>152</v>
      </c>
      <c r="B103" t="s">
        <v>11</v>
      </c>
      <c r="C103" t="s">
        <v>12</v>
      </c>
      <c r="D103" t="s">
        <v>20</v>
      </c>
      <c r="E103" t="s">
        <v>21</v>
      </c>
      <c r="F103">
        <v>47</v>
      </c>
      <c r="G103" s="2">
        <v>375</v>
      </c>
      <c r="H103" s="2">
        <v>17625</v>
      </c>
      <c r="I103" t="s">
        <v>22</v>
      </c>
      <c r="J103" t="s">
        <v>34</v>
      </c>
      <c r="K103" t="str">
        <f>TEXT(Sales_Data[[#This Row],[Order Date]],"yyyy")</f>
        <v>2026</v>
      </c>
      <c r="L103" t="str">
        <f>TEXT(Sales_Data[[#This Row],[Order Date]],"mmmm")</f>
        <v>July</v>
      </c>
      <c r="M103" s="1">
        <v>46231</v>
      </c>
      <c r="N103" s="1">
        <v>35241</v>
      </c>
      <c r="O103">
        <f>DATEDIF(Sales_Data[[#This Row],[Date of Birth]],Sales_Data[[#This Row],[Order Date]],"y")</f>
        <v>30</v>
      </c>
      <c r="P103" t="str" cm="1">
        <f t="array" ref="P103">_xlfn.IFS(Sales_Data[[#This Row],[Age ]]&lt;=30,"Young Adult",Sales_Data[[#This Row],[Age ]]&lt;=45,"Senior",Sales_Data[[#This Row],[Age ]]&lt;=60,"Adult",Sales_Data[[#This Row],[Age ]]&gt;=61,"Elderly")</f>
        <v>Young Adult</v>
      </c>
    </row>
    <row r="104" spans="1:16" x14ac:dyDescent="0.3">
      <c r="A104" t="s">
        <v>153</v>
      </c>
      <c r="B104" t="s">
        <v>29</v>
      </c>
      <c r="C104" t="s">
        <v>42</v>
      </c>
      <c r="D104" t="s">
        <v>66</v>
      </c>
      <c r="E104" t="s">
        <v>92</v>
      </c>
      <c r="F104">
        <v>45</v>
      </c>
      <c r="G104" s="2">
        <v>27</v>
      </c>
      <c r="H104" s="2">
        <v>1215</v>
      </c>
      <c r="I104" t="s">
        <v>22</v>
      </c>
      <c r="J104" t="s">
        <v>16</v>
      </c>
      <c r="K104" t="str">
        <f>TEXT(Sales_Data[[#This Row],[Order Date]],"yyyy")</f>
        <v>2026</v>
      </c>
      <c r="L104" t="str">
        <f>TEXT(Sales_Data[[#This Row],[Order Date]],"mmmm")</f>
        <v>November</v>
      </c>
      <c r="M104" s="1">
        <v>46329</v>
      </c>
      <c r="N104" s="1">
        <v>34942</v>
      </c>
      <c r="O104">
        <f>DATEDIF(Sales_Data[[#This Row],[Date of Birth]],Sales_Data[[#This Row],[Order Date]],"y")</f>
        <v>31</v>
      </c>
      <c r="P104" t="str" cm="1">
        <f t="array" ref="P104">_xlfn.IFS(Sales_Data[[#This Row],[Age ]]&lt;=30,"Young Adult",Sales_Data[[#This Row],[Age ]]&lt;=45,"Senior",Sales_Data[[#This Row],[Age ]]&lt;=60,"Adult",Sales_Data[[#This Row],[Age ]]&gt;=61,"Elderly")</f>
        <v>Senior</v>
      </c>
    </row>
    <row r="105" spans="1:16" x14ac:dyDescent="0.3">
      <c r="A105" t="s">
        <v>154</v>
      </c>
      <c r="B105" t="s">
        <v>29</v>
      </c>
      <c r="C105" t="s">
        <v>19</v>
      </c>
      <c r="D105" t="s">
        <v>20</v>
      </c>
      <c r="E105" t="s">
        <v>27</v>
      </c>
      <c r="F105">
        <v>3</v>
      </c>
      <c r="G105" s="2">
        <v>1344</v>
      </c>
      <c r="H105" s="2">
        <v>4032</v>
      </c>
      <c r="I105" t="s">
        <v>15</v>
      </c>
      <c r="J105" t="s">
        <v>34</v>
      </c>
      <c r="K105" t="str">
        <f>TEXT(Sales_Data[[#This Row],[Order Date]],"yyyy")</f>
        <v>2026</v>
      </c>
      <c r="L105" t="str">
        <f>TEXT(Sales_Data[[#This Row],[Order Date]],"mmmm")</f>
        <v>February</v>
      </c>
      <c r="M105" s="1">
        <v>46061</v>
      </c>
      <c r="N105" s="1">
        <v>34360</v>
      </c>
      <c r="O105">
        <f>DATEDIF(Sales_Data[[#This Row],[Date of Birth]],Sales_Data[[#This Row],[Order Date]],"y")</f>
        <v>32</v>
      </c>
      <c r="P105" t="str" cm="1">
        <f t="array" ref="P105">_xlfn.IFS(Sales_Data[[#This Row],[Age ]]&lt;=30,"Young Adult",Sales_Data[[#This Row],[Age ]]&lt;=45,"Senior",Sales_Data[[#This Row],[Age ]]&lt;=60,"Adult",Sales_Data[[#This Row],[Age ]]&gt;=61,"Elderly")</f>
        <v>Senior</v>
      </c>
    </row>
    <row r="106" spans="1:16" x14ac:dyDescent="0.3">
      <c r="A106" t="s">
        <v>155</v>
      </c>
      <c r="B106" t="s">
        <v>18</v>
      </c>
      <c r="C106" t="s">
        <v>69</v>
      </c>
      <c r="D106" t="s">
        <v>13</v>
      </c>
      <c r="E106" t="s">
        <v>14</v>
      </c>
      <c r="F106">
        <v>29</v>
      </c>
      <c r="G106" s="2">
        <v>440</v>
      </c>
      <c r="H106" s="2">
        <v>12760</v>
      </c>
      <c r="I106" t="s">
        <v>22</v>
      </c>
      <c r="J106" t="s">
        <v>23</v>
      </c>
      <c r="K106" t="str">
        <f>TEXT(Sales_Data[[#This Row],[Order Date]],"yyyy")</f>
        <v>2026</v>
      </c>
      <c r="L106" t="str">
        <f>TEXT(Sales_Data[[#This Row],[Order Date]],"mmmm")</f>
        <v>December</v>
      </c>
      <c r="M106" s="1">
        <v>46366</v>
      </c>
      <c r="N106" s="1">
        <v>24912</v>
      </c>
      <c r="O106">
        <f>DATEDIF(Sales_Data[[#This Row],[Date of Birth]],Sales_Data[[#This Row],[Order Date]],"y")</f>
        <v>58</v>
      </c>
      <c r="P106" t="str" cm="1">
        <f t="array" ref="P106">_xlfn.IFS(Sales_Data[[#This Row],[Age ]]&lt;=30,"Young Adult",Sales_Data[[#This Row],[Age ]]&lt;=45,"Senior",Sales_Data[[#This Row],[Age ]]&lt;=60,"Adult",Sales_Data[[#This Row],[Age ]]&gt;=61,"Elderly")</f>
        <v>Adult</v>
      </c>
    </row>
    <row r="107" spans="1:16" x14ac:dyDescent="0.3">
      <c r="A107" t="s">
        <v>156</v>
      </c>
      <c r="B107" t="s">
        <v>25</v>
      </c>
      <c r="C107" t="s">
        <v>65</v>
      </c>
      <c r="D107" t="s">
        <v>66</v>
      </c>
      <c r="E107" t="s">
        <v>77</v>
      </c>
      <c r="F107">
        <v>24</v>
      </c>
      <c r="G107" s="2">
        <v>29</v>
      </c>
      <c r="H107" s="2">
        <v>696</v>
      </c>
      <c r="I107" t="s">
        <v>15</v>
      </c>
      <c r="J107" t="s">
        <v>23</v>
      </c>
      <c r="K107" t="str">
        <f>TEXT(Sales_Data[[#This Row],[Order Date]],"yyyy")</f>
        <v>2026</v>
      </c>
      <c r="L107" t="str">
        <f>TEXT(Sales_Data[[#This Row],[Order Date]],"mmmm")</f>
        <v>March</v>
      </c>
      <c r="M107" s="1">
        <v>46089</v>
      </c>
      <c r="N107" s="1">
        <v>33723</v>
      </c>
      <c r="O107">
        <f>DATEDIF(Sales_Data[[#This Row],[Date of Birth]],Sales_Data[[#This Row],[Order Date]],"y")</f>
        <v>33</v>
      </c>
      <c r="P107" t="str" cm="1">
        <f t="array" ref="P107">_xlfn.IFS(Sales_Data[[#This Row],[Age ]]&lt;=30,"Young Adult",Sales_Data[[#This Row],[Age ]]&lt;=45,"Senior",Sales_Data[[#This Row],[Age ]]&lt;=60,"Adult",Sales_Data[[#This Row],[Age ]]&gt;=61,"Elderly")</f>
        <v>Senior</v>
      </c>
    </row>
    <row r="108" spans="1:16" x14ac:dyDescent="0.3">
      <c r="A108" t="s">
        <v>157</v>
      </c>
      <c r="B108" t="s">
        <v>11</v>
      </c>
      <c r="C108" t="s">
        <v>19</v>
      </c>
      <c r="D108" t="s">
        <v>13</v>
      </c>
      <c r="E108" t="s">
        <v>49</v>
      </c>
      <c r="F108">
        <v>25</v>
      </c>
      <c r="G108" s="2">
        <v>593</v>
      </c>
      <c r="H108" s="2">
        <v>14825</v>
      </c>
      <c r="I108" t="s">
        <v>22</v>
      </c>
      <c r="J108" t="s">
        <v>16</v>
      </c>
      <c r="K108" t="str">
        <f>TEXT(Sales_Data[[#This Row],[Order Date]],"yyyy")</f>
        <v>2026</v>
      </c>
      <c r="L108" t="str">
        <f>TEXT(Sales_Data[[#This Row],[Order Date]],"mmmm")</f>
        <v>August</v>
      </c>
      <c r="M108" s="1">
        <v>46253</v>
      </c>
      <c r="N108" s="1">
        <v>34146</v>
      </c>
      <c r="O108">
        <f>DATEDIF(Sales_Data[[#This Row],[Date of Birth]],Sales_Data[[#This Row],[Order Date]],"y")</f>
        <v>33</v>
      </c>
      <c r="P108" t="str" cm="1">
        <f t="array" ref="P108">_xlfn.IFS(Sales_Data[[#This Row],[Age ]]&lt;=30,"Young Adult",Sales_Data[[#This Row],[Age ]]&lt;=45,"Senior",Sales_Data[[#This Row],[Age ]]&lt;=60,"Adult",Sales_Data[[#This Row],[Age ]]&gt;=61,"Elderly")</f>
        <v>Senior</v>
      </c>
    </row>
    <row r="109" spans="1:16" x14ac:dyDescent="0.3">
      <c r="A109" t="s">
        <v>158</v>
      </c>
      <c r="B109" t="s">
        <v>25</v>
      </c>
      <c r="C109" t="s">
        <v>46</v>
      </c>
      <c r="D109" t="s">
        <v>66</v>
      </c>
      <c r="E109" t="s">
        <v>70</v>
      </c>
      <c r="F109">
        <v>17</v>
      </c>
      <c r="G109" s="2">
        <v>44</v>
      </c>
      <c r="H109" s="2">
        <v>748</v>
      </c>
      <c r="I109" t="s">
        <v>15</v>
      </c>
      <c r="J109" t="s">
        <v>23</v>
      </c>
      <c r="K109" t="str">
        <f>TEXT(Sales_Data[[#This Row],[Order Date]],"yyyy")</f>
        <v>2026</v>
      </c>
      <c r="L109" t="str">
        <f>TEXT(Sales_Data[[#This Row],[Order Date]],"mmmm")</f>
        <v>January</v>
      </c>
      <c r="M109" s="1">
        <v>46048</v>
      </c>
      <c r="N109" s="1">
        <v>26546</v>
      </c>
      <c r="O109">
        <f>DATEDIF(Sales_Data[[#This Row],[Date of Birth]],Sales_Data[[#This Row],[Order Date]],"y")</f>
        <v>53</v>
      </c>
      <c r="P109" t="str" cm="1">
        <f t="array" ref="P109">_xlfn.IFS(Sales_Data[[#This Row],[Age ]]&lt;=30,"Young Adult",Sales_Data[[#This Row],[Age ]]&lt;=45,"Senior",Sales_Data[[#This Row],[Age ]]&lt;=60,"Adult",Sales_Data[[#This Row],[Age ]]&gt;=61,"Elderly")</f>
        <v>Adult</v>
      </c>
    </row>
    <row r="110" spans="1:16" x14ac:dyDescent="0.3">
      <c r="A110" t="s">
        <v>159</v>
      </c>
      <c r="B110" t="s">
        <v>29</v>
      </c>
      <c r="C110" t="s">
        <v>55</v>
      </c>
      <c r="D110" t="s">
        <v>20</v>
      </c>
      <c r="E110" t="s">
        <v>36</v>
      </c>
      <c r="F110">
        <v>38</v>
      </c>
      <c r="G110" s="2">
        <v>692</v>
      </c>
      <c r="H110" s="2">
        <v>26296</v>
      </c>
      <c r="I110" t="s">
        <v>22</v>
      </c>
      <c r="J110" t="s">
        <v>23</v>
      </c>
      <c r="K110" t="str">
        <f>TEXT(Sales_Data[[#This Row],[Order Date]],"yyyy")</f>
        <v>2026</v>
      </c>
      <c r="L110" t="str">
        <f>TEXT(Sales_Data[[#This Row],[Order Date]],"mmmm")</f>
        <v>November</v>
      </c>
      <c r="M110" s="1">
        <v>46340</v>
      </c>
      <c r="N110" s="1">
        <v>32494</v>
      </c>
      <c r="O110">
        <f>DATEDIF(Sales_Data[[#This Row],[Date of Birth]],Sales_Data[[#This Row],[Order Date]],"y")</f>
        <v>37</v>
      </c>
      <c r="P110" t="str" cm="1">
        <f t="array" ref="P110">_xlfn.IFS(Sales_Data[[#This Row],[Age ]]&lt;=30,"Young Adult",Sales_Data[[#This Row],[Age ]]&lt;=45,"Senior",Sales_Data[[#This Row],[Age ]]&lt;=60,"Adult",Sales_Data[[#This Row],[Age ]]&gt;=61,"Elderly")</f>
        <v>Senior</v>
      </c>
    </row>
    <row r="111" spans="1:16" x14ac:dyDescent="0.3">
      <c r="A111" t="s">
        <v>160</v>
      </c>
      <c r="B111" t="s">
        <v>29</v>
      </c>
      <c r="C111" t="s">
        <v>46</v>
      </c>
      <c r="D111" t="s">
        <v>20</v>
      </c>
      <c r="E111" t="s">
        <v>104</v>
      </c>
      <c r="F111">
        <v>7</v>
      </c>
      <c r="G111" s="2">
        <v>565</v>
      </c>
      <c r="H111" s="2">
        <v>3955</v>
      </c>
      <c r="I111" t="s">
        <v>22</v>
      </c>
      <c r="J111" t="s">
        <v>23</v>
      </c>
      <c r="K111" t="str">
        <f>TEXT(Sales_Data[[#This Row],[Order Date]],"yyyy")</f>
        <v>2026</v>
      </c>
      <c r="L111" t="str">
        <f>TEXT(Sales_Data[[#This Row],[Order Date]],"mmmm")</f>
        <v>July</v>
      </c>
      <c r="M111" s="1">
        <v>46222</v>
      </c>
      <c r="N111" s="1">
        <v>35689</v>
      </c>
      <c r="O111">
        <f>DATEDIF(Sales_Data[[#This Row],[Date of Birth]],Sales_Data[[#This Row],[Order Date]],"y")</f>
        <v>28</v>
      </c>
      <c r="P111" t="str" cm="1">
        <f t="array" ref="P111">_xlfn.IFS(Sales_Data[[#This Row],[Age ]]&lt;=30,"Young Adult",Sales_Data[[#This Row],[Age ]]&lt;=45,"Senior",Sales_Data[[#This Row],[Age ]]&lt;=60,"Adult",Sales_Data[[#This Row],[Age ]]&gt;=61,"Elderly")</f>
        <v>Young Adult</v>
      </c>
    </row>
    <row r="112" spans="1:16" x14ac:dyDescent="0.3">
      <c r="A112" t="s">
        <v>161</v>
      </c>
      <c r="B112" t="s">
        <v>18</v>
      </c>
      <c r="C112" t="s">
        <v>55</v>
      </c>
      <c r="D112" t="s">
        <v>20</v>
      </c>
      <c r="E112" t="s">
        <v>36</v>
      </c>
      <c r="F112">
        <v>1</v>
      </c>
      <c r="G112" s="2">
        <v>1239</v>
      </c>
      <c r="H112" s="2">
        <v>1239</v>
      </c>
      <c r="I112" t="s">
        <v>22</v>
      </c>
      <c r="J112" t="s">
        <v>23</v>
      </c>
      <c r="K112" t="str">
        <f>TEXT(Sales_Data[[#This Row],[Order Date]],"yyyy")</f>
        <v>2026</v>
      </c>
      <c r="L112" t="str">
        <f>TEXT(Sales_Data[[#This Row],[Order Date]],"mmmm")</f>
        <v>November</v>
      </c>
      <c r="M112" s="1">
        <v>46351</v>
      </c>
      <c r="N112" s="1">
        <v>27753</v>
      </c>
      <c r="O112">
        <f>DATEDIF(Sales_Data[[#This Row],[Date of Birth]],Sales_Data[[#This Row],[Order Date]],"y")</f>
        <v>50</v>
      </c>
      <c r="P112" t="str" cm="1">
        <f t="array" ref="P112">_xlfn.IFS(Sales_Data[[#This Row],[Age ]]&lt;=30,"Young Adult",Sales_Data[[#This Row],[Age ]]&lt;=45,"Senior",Sales_Data[[#This Row],[Age ]]&lt;=60,"Adult",Sales_Data[[#This Row],[Age ]]&gt;=61,"Elderly")</f>
        <v>Adult</v>
      </c>
    </row>
    <row r="113" spans="1:16" x14ac:dyDescent="0.3">
      <c r="A113" t="s">
        <v>162</v>
      </c>
      <c r="B113" t="s">
        <v>11</v>
      </c>
      <c r="C113" t="s">
        <v>12</v>
      </c>
      <c r="D113" t="s">
        <v>66</v>
      </c>
      <c r="E113" t="s">
        <v>83</v>
      </c>
      <c r="F113">
        <v>41</v>
      </c>
      <c r="G113" s="2">
        <v>14</v>
      </c>
      <c r="H113" s="2">
        <v>574</v>
      </c>
      <c r="I113" t="s">
        <v>15</v>
      </c>
      <c r="J113" t="s">
        <v>34</v>
      </c>
      <c r="K113" t="str">
        <f>TEXT(Sales_Data[[#This Row],[Order Date]],"yyyy")</f>
        <v>2026</v>
      </c>
      <c r="L113" t="str">
        <f>TEXT(Sales_Data[[#This Row],[Order Date]],"mmmm")</f>
        <v>October</v>
      </c>
      <c r="M113" s="1">
        <v>46304</v>
      </c>
      <c r="N113" s="1">
        <v>26420</v>
      </c>
      <c r="O113">
        <f>DATEDIF(Sales_Data[[#This Row],[Date of Birth]],Sales_Data[[#This Row],[Order Date]],"y")</f>
        <v>54</v>
      </c>
      <c r="P113" t="str" cm="1">
        <f t="array" ref="P113">_xlfn.IFS(Sales_Data[[#This Row],[Age ]]&lt;=30,"Young Adult",Sales_Data[[#This Row],[Age ]]&lt;=45,"Senior",Sales_Data[[#This Row],[Age ]]&lt;=60,"Adult",Sales_Data[[#This Row],[Age ]]&gt;=61,"Elderly")</f>
        <v>Adult</v>
      </c>
    </row>
    <row r="114" spans="1:16" x14ac:dyDescent="0.3">
      <c r="A114" t="s">
        <v>163</v>
      </c>
      <c r="B114" t="s">
        <v>18</v>
      </c>
      <c r="C114" t="s">
        <v>46</v>
      </c>
      <c r="D114" t="s">
        <v>20</v>
      </c>
      <c r="E114" t="s">
        <v>21</v>
      </c>
      <c r="F114">
        <v>38</v>
      </c>
      <c r="G114" s="2">
        <v>827</v>
      </c>
      <c r="H114" s="2">
        <v>31426</v>
      </c>
      <c r="I114" t="s">
        <v>22</v>
      </c>
      <c r="J114" t="s">
        <v>16</v>
      </c>
      <c r="K114" t="str">
        <f>TEXT(Sales_Data[[#This Row],[Order Date]],"yyyy")</f>
        <v>2026</v>
      </c>
      <c r="L114" t="str">
        <f>TEXT(Sales_Data[[#This Row],[Order Date]],"mmmm")</f>
        <v>December</v>
      </c>
      <c r="M114" s="1">
        <v>46361</v>
      </c>
      <c r="N114" s="1">
        <v>31316</v>
      </c>
      <c r="O114">
        <f>DATEDIF(Sales_Data[[#This Row],[Date of Birth]],Sales_Data[[#This Row],[Order Date]],"y")</f>
        <v>41</v>
      </c>
      <c r="P114" t="str" cm="1">
        <f t="array" ref="P114">_xlfn.IFS(Sales_Data[[#This Row],[Age ]]&lt;=30,"Young Adult",Sales_Data[[#This Row],[Age ]]&lt;=45,"Senior",Sales_Data[[#This Row],[Age ]]&lt;=60,"Adult",Sales_Data[[#This Row],[Age ]]&gt;=61,"Elderly")</f>
        <v>Senior</v>
      </c>
    </row>
    <row r="115" spans="1:16" x14ac:dyDescent="0.3">
      <c r="A115" t="s">
        <v>164</v>
      </c>
      <c r="B115" t="s">
        <v>29</v>
      </c>
      <c r="C115" t="s">
        <v>65</v>
      </c>
      <c r="D115" t="s">
        <v>20</v>
      </c>
      <c r="E115" t="s">
        <v>43</v>
      </c>
      <c r="F115">
        <v>13</v>
      </c>
      <c r="G115" s="2">
        <v>350</v>
      </c>
      <c r="H115" s="2">
        <v>4550</v>
      </c>
      <c r="I115" t="s">
        <v>22</v>
      </c>
      <c r="J115" t="s">
        <v>34</v>
      </c>
      <c r="K115" t="str">
        <f>TEXT(Sales_Data[[#This Row],[Order Date]],"yyyy")</f>
        <v>2026</v>
      </c>
      <c r="L115" t="str">
        <f>TEXT(Sales_Data[[#This Row],[Order Date]],"mmmm")</f>
        <v>September</v>
      </c>
      <c r="M115" s="1">
        <v>46277</v>
      </c>
      <c r="N115" s="1">
        <v>29959</v>
      </c>
      <c r="O115">
        <f>DATEDIF(Sales_Data[[#This Row],[Date of Birth]],Sales_Data[[#This Row],[Order Date]],"y")</f>
        <v>44</v>
      </c>
      <c r="P115" t="str" cm="1">
        <f t="array" ref="P115">_xlfn.IFS(Sales_Data[[#This Row],[Age ]]&lt;=30,"Young Adult",Sales_Data[[#This Row],[Age ]]&lt;=45,"Senior",Sales_Data[[#This Row],[Age ]]&lt;=60,"Adult",Sales_Data[[#This Row],[Age ]]&gt;=61,"Elderly")</f>
        <v>Senior</v>
      </c>
    </row>
    <row r="116" spans="1:16" x14ac:dyDescent="0.3">
      <c r="A116" t="s">
        <v>165</v>
      </c>
      <c r="B116" t="s">
        <v>11</v>
      </c>
      <c r="C116" t="s">
        <v>42</v>
      </c>
      <c r="D116" t="s">
        <v>66</v>
      </c>
      <c r="E116" t="s">
        <v>77</v>
      </c>
      <c r="F116">
        <v>8</v>
      </c>
      <c r="G116" s="2">
        <v>31</v>
      </c>
      <c r="H116" s="2">
        <v>248</v>
      </c>
      <c r="I116" t="s">
        <v>22</v>
      </c>
      <c r="J116" t="s">
        <v>23</v>
      </c>
      <c r="K116" t="str">
        <f>TEXT(Sales_Data[[#This Row],[Order Date]],"yyyy")</f>
        <v>2026</v>
      </c>
      <c r="L116" t="str">
        <f>TEXT(Sales_Data[[#This Row],[Order Date]],"mmmm")</f>
        <v>February</v>
      </c>
      <c r="M116" s="1">
        <v>46058</v>
      </c>
      <c r="N116" s="1">
        <v>28165</v>
      </c>
      <c r="O116">
        <f>DATEDIF(Sales_Data[[#This Row],[Date of Birth]],Sales_Data[[#This Row],[Order Date]],"y")</f>
        <v>48</v>
      </c>
      <c r="P116" t="str" cm="1">
        <f t="array" ref="P116">_xlfn.IFS(Sales_Data[[#This Row],[Age ]]&lt;=30,"Young Adult",Sales_Data[[#This Row],[Age ]]&lt;=45,"Senior",Sales_Data[[#This Row],[Age ]]&lt;=60,"Adult",Sales_Data[[#This Row],[Age ]]&gt;=61,"Elderly")</f>
        <v>Adult</v>
      </c>
    </row>
    <row r="117" spans="1:16" x14ac:dyDescent="0.3">
      <c r="A117" t="s">
        <v>166</v>
      </c>
      <c r="B117" t="s">
        <v>29</v>
      </c>
      <c r="C117" t="s">
        <v>46</v>
      </c>
      <c r="D117" t="s">
        <v>20</v>
      </c>
      <c r="E117" t="s">
        <v>21</v>
      </c>
      <c r="F117">
        <v>17</v>
      </c>
      <c r="G117" s="2">
        <v>1178</v>
      </c>
      <c r="H117" s="2">
        <v>20026</v>
      </c>
      <c r="I117" t="s">
        <v>22</v>
      </c>
      <c r="J117" t="s">
        <v>16</v>
      </c>
      <c r="K117" t="str">
        <f>TEXT(Sales_Data[[#This Row],[Order Date]],"yyyy")</f>
        <v>2026</v>
      </c>
      <c r="L117" t="str">
        <f>TEXT(Sales_Data[[#This Row],[Order Date]],"mmmm")</f>
        <v>February</v>
      </c>
      <c r="M117" s="1">
        <v>46068</v>
      </c>
      <c r="N117" s="1">
        <v>34228</v>
      </c>
      <c r="O117">
        <f>DATEDIF(Sales_Data[[#This Row],[Date of Birth]],Sales_Data[[#This Row],[Order Date]],"y")</f>
        <v>32</v>
      </c>
      <c r="P117" t="str" cm="1">
        <f t="array" ref="P117">_xlfn.IFS(Sales_Data[[#This Row],[Age ]]&lt;=30,"Young Adult",Sales_Data[[#This Row],[Age ]]&lt;=45,"Senior",Sales_Data[[#This Row],[Age ]]&lt;=60,"Adult",Sales_Data[[#This Row],[Age ]]&gt;=61,"Elderly")</f>
        <v>Senior</v>
      </c>
    </row>
    <row r="118" spans="1:16" x14ac:dyDescent="0.3">
      <c r="A118" t="s">
        <v>167</v>
      </c>
      <c r="B118" t="s">
        <v>29</v>
      </c>
      <c r="C118" t="s">
        <v>19</v>
      </c>
      <c r="D118" t="s">
        <v>66</v>
      </c>
      <c r="E118" t="s">
        <v>67</v>
      </c>
      <c r="F118">
        <v>44</v>
      </c>
      <c r="G118" s="2">
        <v>16</v>
      </c>
      <c r="H118" s="2">
        <v>704</v>
      </c>
      <c r="I118" t="s">
        <v>15</v>
      </c>
      <c r="J118" t="s">
        <v>16</v>
      </c>
      <c r="K118" t="str">
        <f>TEXT(Sales_Data[[#This Row],[Order Date]],"yyyy")</f>
        <v>2026</v>
      </c>
      <c r="L118" t="str">
        <f>TEXT(Sales_Data[[#This Row],[Order Date]],"mmmm")</f>
        <v>August</v>
      </c>
      <c r="M118" s="1">
        <v>46235</v>
      </c>
      <c r="N118" s="1">
        <v>35017</v>
      </c>
      <c r="O118">
        <f>DATEDIF(Sales_Data[[#This Row],[Date of Birth]],Sales_Data[[#This Row],[Order Date]],"y")</f>
        <v>30</v>
      </c>
      <c r="P118" t="str" cm="1">
        <f t="array" ref="P118">_xlfn.IFS(Sales_Data[[#This Row],[Age ]]&lt;=30,"Young Adult",Sales_Data[[#This Row],[Age ]]&lt;=45,"Senior",Sales_Data[[#This Row],[Age ]]&lt;=60,"Adult",Sales_Data[[#This Row],[Age ]]&gt;=61,"Elderly")</f>
        <v>Young Adult</v>
      </c>
    </row>
    <row r="119" spans="1:16" x14ac:dyDescent="0.3">
      <c r="A119" t="s">
        <v>168</v>
      </c>
      <c r="B119" t="s">
        <v>18</v>
      </c>
      <c r="C119" t="s">
        <v>69</v>
      </c>
      <c r="D119" t="s">
        <v>20</v>
      </c>
      <c r="E119" t="s">
        <v>36</v>
      </c>
      <c r="F119">
        <v>42</v>
      </c>
      <c r="G119" s="2">
        <v>916</v>
      </c>
      <c r="H119" s="2">
        <v>38472</v>
      </c>
      <c r="I119" t="s">
        <v>22</v>
      </c>
      <c r="J119" t="s">
        <v>34</v>
      </c>
      <c r="K119" t="str">
        <f>TEXT(Sales_Data[[#This Row],[Order Date]],"yyyy")</f>
        <v>2026</v>
      </c>
      <c r="L119" t="str">
        <f>TEXT(Sales_Data[[#This Row],[Order Date]],"mmmm")</f>
        <v>February</v>
      </c>
      <c r="M119" s="1">
        <v>46058</v>
      </c>
      <c r="N119" s="1">
        <v>32868</v>
      </c>
      <c r="O119">
        <f>DATEDIF(Sales_Data[[#This Row],[Date of Birth]],Sales_Data[[#This Row],[Order Date]],"y")</f>
        <v>36</v>
      </c>
      <c r="P119" t="str" cm="1">
        <f t="array" ref="P119">_xlfn.IFS(Sales_Data[[#This Row],[Age ]]&lt;=30,"Young Adult",Sales_Data[[#This Row],[Age ]]&lt;=45,"Senior",Sales_Data[[#This Row],[Age ]]&lt;=60,"Adult",Sales_Data[[#This Row],[Age ]]&gt;=61,"Elderly")</f>
        <v>Senior</v>
      </c>
    </row>
    <row r="120" spans="1:16" x14ac:dyDescent="0.3">
      <c r="A120" t="s">
        <v>169</v>
      </c>
      <c r="B120" t="s">
        <v>25</v>
      </c>
      <c r="C120" t="s">
        <v>26</v>
      </c>
      <c r="D120" t="s">
        <v>13</v>
      </c>
      <c r="E120" t="s">
        <v>14</v>
      </c>
      <c r="F120">
        <v>16</v>
      </c>
      <c r="G120" s="2">
        <v>1200</v>
      </c>
      <c r="H120" s="2">
        <v>19200</v>
      </c>
      <c r="I120" t="s">
        <v>22</v>
      </c>
      <c r="J120" t="s">
        <v>16</v>
      </c>
      <c r="K120" t="str">
        <f>TEXT(Sales_Data[[#This Row],[Order Date]],"yyyy")</f>
        <v>2026</v>
      </c>
      <c r="L120" t="str">
        <f>TEXT(Sales_Data[[#This Row],[Order Date]],"mmmm")</f>
        <v>March</v>
      </c>
      <c r="M120" s="1">
        <v>46094</v>
      </c>
      <c r="N120" s="1">
        <v>27341</v>
      </c>
      <c r="O120">
        <f>DATEDIF(Sales_Data[[#This Row],[Date of Birth]],Sales_Data[[#This Row],[Order Date]],"y")</f>
        <v>51</v>
      </c>
      <c r="P120" t="str" cm="1">
        <f t="array" ref="P120">_xlfn.IFS(Sales_Data[[#This Row],[Age ]]&lt;=30,"Young Adult",Sales_Data[[#This Row],[Age ]]&lt;=45,"Senior",Sales_Data[[#This Row],[Age ]]&lt;=60,"Adult",Sales_Data[[#This Row],[Age ]]&gt;=61,"Elderly")</f>
        <v>Adult</v>
      </c>
    </row>
    <row r="121" spans="1:16" x14ac:dyDescent="0.3">
      <c r="A121" t="s">
        <v>170</v>
      </c>
      <c r="B121" t="s">
        <v>25</v>
      </c>
      <c r="C121" t="s">
        <v>46</v>
      </c>
      <c r="D121" t="s">
        <v>30</v>
      </c>
      <c r="E121" t="s">
        <v>47</v>
      </c>
      <c r="F121">
        <v>42</v>
      </c>
      <c r="G121" s="2">
        <v>151</v>
      </c>
      <c r="H121" s="2">
        <v>6342</v>
      </c>
      <c r="I121" t="s">
        <v>15</v>
      </c>
      <c r="J121" t="s">
        <v>16</v>
      </c>
      <c r="K121" t="str">
        <f>TEXT(Sales_Data[[#This Row],[Order Date]],"yyyy")</f>
        <v>2026</v>
      </c>
      <c r="L121" t="str">
        <f>TEXT(Sales_Data[[#This Row],[Order Date]],"mmmm")</f>
        <v>August</v>
      </c>
      <c r="M121" s="1">
        <v>46254</v>
      </c>
      <c r="N121" s="1">
        <v>34959</v>
      </c>
      <c r="O121">
        <f>DATEDIF(Sales_Data[[#This Row],[Date of Birth]],Sales_Data[[#This Row],[Order Date]],"y")</f>
        <v>30</v>
      </c>
      <c r="P121" t="str" cm="1">
        <f t="array" ref="P121">_xlfn.IFS(Sales_Data[[#This Row],[Age ]]&lt;=30,"Young Adult",Sales_Data[[#This Row],[Age ]]&lt;=45,"Senior",Sales_Data[[#This Row],[Age ]]&lt;=60,"Adult",Sales_Data[[#This Row],[Age ]]&gt;=61,"Elderly")</f>
        <v>Young Adult</v>
      </c>
    </row>
    <row r="122" spans="1:16" x14ac:dyDescent="0.3">
      <c r="A122" t="s">
        <v>171</v>
      </c>
      <c r="B122" t="s">
        <v>29</v>
      </c>
      <c r="C122" t="s">
        <v>12</v>
      </c>
      <c r="D122" t="s">
        <v>66</v>
      </c>
      <c r="E122" t="s">
        <v>83</v>
      </c>
      <c r="F122">
        <v>29</v>
      </c>
      <c r="G122" s="2">
        <v>30</v>
      </c>
      <c r="H122" s="2">
        <v>870</v>
      </c>
      <c r="I122" t="s">
        <v>22</v>
      </c>
      <c r="J122" t="s">
        <v>16</v>
      </c>
      <c r="K122" t="str">
        <f>TEXT(Sales_Data[[#This Row],[Order Date]],"yyyy")</f>
        <v>2026</v>
      </c>
      <c r="L122" t="str">
        <f>TEXT(Sales_Data[[#This Row],[Order Date]],"mmmm")</f>
        <v>April</v>
      </c>
      <c r="M122" s="1">
        <v>46140</v>
      </c>
      <c r="N122" s="1">
        <v>29056</v>
      </c>
      <c r="O122">
        <f>DATEDIF(Sales_Data[[#This Row],[Date of Birth]],Sales_Data[[#This Row],[Order Date]],"y")</f>
        <v>46</v>
      </c>
      <c r="P122" t="str" cm="1">
        <f t="array" ref="P122">_xlfn.IFS(Sales_Data[[#This Row],[Age ]]&lt;=30,"Young Adult",Sales_Data[[#This Row],[Age ]]&lt;=45,"Senior",Sales_Data[[#This Row],[Age ]]&lt;=60,"Adult",Sales_Data[[#This Row],[Age ]]&gt;=61,"Elderly")</f>
        <v>Adult</v>
      </c>
    </row>
    <row r="123" spans="1:16" x14ac:dyDescent="0.3">
      <c r="A123" t="s">
        <v>172</v>
      </c>
      <c r="B123" t="s">
        <v>25</v>
      </c>
      <c r="C123" t="s">
        <v>12</v>
      </c>
      <c r="D123" t="s">
        <v>66</v>
      </c>
      <c r="E123" t="s">
        <v>67</v>
      </c>
      <c r="F123">
        <v>26</v>
      </c>
      <c r="G123" s="2">
        <v>19</v>
      </c>
      <c r="H123" s="2">
        <v>494</v>
      </c>
      <c r="I123" t="s">
        <v>15</v>
      </c>
      <c r="J123" t="s">
        <v>16</v>
      </c>
      <c r="K123" t="str">
        <f>TEXT(Sales_Data[[#This Row],[Order Date]],"yyyy")</f>
        <v>2026</v>
      </c>
      <c r="L123" t="str">
        <f>TEXT(Sales_Data[[#This Row],[Order Date]],"mmmm")</f>
        <v>April</v>
      </c>
      <c r="M123" s="1">
        <v>46116</v>
      </c>
      <c r="N123" s="1">
        <v>37552</v>
      </c>
      <c r="O123">
        <f>DATEDIF(Sales_Data[[#This Row],[Date of Birth]],Sales_Data[[#This Row],[Order Date]],"y")</f>
        <v>23</v>
      </c>
      <c r="P123" t="str" cm="1">
        <f t="array" ref="P123">_xlfn.IFS(Sales_Data[[#This Row],[Age ]]&lt;=30,"Young Adult",Sales_Data[[#This Row],[Age ]]&lt;=45,"Senior",Sales_Data[[#This Row],[Age ]]&lt;=60,"Adult",Sales_Data[[#This Row],[Age ]]&gt;=61,"Elderly")</f>
        <v>Young Adult</v>
      </c>
    </row>
    <row r="124" spans="1:16" x14ac:dyDescent="0.3">
      <c r="A124" t="s">
        <v>173</v>
      </c>
      <c r="B124" t="s">
        <v>11</v>
      </c>
      <c r="C124" t="s">
        <v>12</v>
      </c>
      <c r="D124" t="s">
        <v>13</v>
      </c>
      <c r="E124" t="s">
        <v>14</v>
      </c>
      <c r="F124">
        <v>22</v>
      </c>
      <c r="G124" s="2">
        <v>598</v>
      </c>
      <c r="H124" s="2">
        <v>13156</v>
      </c>
      <c r="I124" t="s">
        <v>15</v>
      </c>
      <c r="J124" t="s">
        <v>16</v>
      </c>
      <c r="K124" t="str">
        <f>TEXT(Sales_Data[[#This Row],[Order Date]],"yyyy")</f>
        <v>2026</v>
      </c>
      <c r="L124" t="str">
        <f>TEXT(Sales_Data[[#This Row],[Order Date]],"mmmm")</f>
        <v>March</v>
      </c>
      <c r="M124" s="1">
        <v>46107</v>
      </c>
      <c r="N124" s="1">
        <v>36331</v>
      </c>
      <c r="O124">
        <f>DATEDIF(Sales_Data[[#This Row],[Date of Birth]],Sales_Data[[#This Row],[Order Date]],"y")</f>
        <v>26</v>
      </c>
      <c r="P124" t="str" cm="1">
        <f t="array" ref="P124">_xlfn.IFS(Sales_Data[[#This Row],[Age ]]&lt;=30,"Young Adult",Sales_Data[[#This Row],[Age ]]&lt;=45,"Senior",Sales_Data[[#This Row],[Age ]]&lt;=60,"Adult",Sales_Data[[#This Row],[Age ]]&gt;=61,"Elderly")</f>
        <v>Young Adult</v>
      </c>
    </row>
    <row r="125" spans="1:16" x14ac:dyDescent="0.3">
      <c r="A125" t="s">
        <v>174</v>
      </c>
      <c r="B125" t="s">
        <v>29</v>
      </c>
      <c r="C125" t="s">
        <v>65</v>
      </c>
      <c r="D125" t="s">
        <v>30</v>
      </c>
      <c r="E125" t="s">
        <v>38</v>
      </c>
      <c r="F125">
        <v>22</v>
      </c>
      <c r="G125" s="2">
        <v>201</v>
      </c>
      <c r="H125" s="2">
        <v>4422</v>
      </c>
      <c r="I125" t="s">
        <v>15</v>
      </c>
      <c r="J125" t="s">
        <v>16</v>
      </c>
      <c r="K125" t="str">
        <f>TEXT(Sales_Data[[#This Row],[Order Date]],"yyyy")</f>
        <v>2026</v>
      </c>
      <c r="L125" t="str">
        <f>TEXT(Sales_Data[[#This Row],[Order Date]],"mmmm")</f>
        <v>October</v>
      </c>
      <c r="M125" s="1">
        <v>46296</v>
      </c>
      <c r="N125" s="1">
        <v>36456</v>
      </c>
      <c r="O125">
        <f>DATEDIF(Sales_Data[[#This Row],[Date of Birth]],Sales_Data[[#This Row],[Order Date]],"y")</f>
        <v>26</v>
      </c>
      <c r="P125" t="str" cm="1">
        <f t="array" ref="P125">_xlfn.IFS(Sales_Data[[#This Row],[Age ]]&lt;=30,"Young Adult",Sales_Data[[#This Row],[Age ]]&lt;=45,"Senior",Sales_Data[[#This Row],[Age ]]&lt;=60,"Adult",Sales_Data[[#This Row],[Age ]]&gt;=61,"Elderly")</f>
        <v>Young Adult</v>
      </c>
    </row>
    <row r="126" spans="1:16" x14ac:dyDescent="0.3">
      <c r="A126" t="s">
        <v>175</v>
      </c>
      <c r="B126" t="s">
        <v>18</v>
      </c>
      <c r="C126" t="s">
        <v>26</v>
      </c>
      <c r="D126" t="s">
        <v>66</v>
      </c>
      <c r="E126" t="s">
        <v>83</v>
      </c>
      <c r="F126">
        <v>8</v>
      </c>
      <c r="G126" s="2">
        <v>44</v>
      </c>
      <c r="H126" s="2">
        <v>352</v>
      </c>
      <c r="I126" t="s">
        <v>15</v>
      </c>
      <c r="J126" t="s">
        <v>16</v>
      </c>
      <c r="K126" t="str">
        <f>TEXT(Sales_Data[[#This Row],[Order Date]],"yyyy")</f>
        <v>2026</v>
      </c>
      <c r="L126" t="str">
        <f>TEXT(Sales_Data[[#This Row],[Order Date]],"mmmm")</f>
        <v>January</v>
      </c>
      <c r="M126" s="1">
        <v>46027</v>
      </c>
      <c r="N126" s="1">
        <v>24659</v>
      </c>
      <c r="O126">
        <f>DATEDIF(Sales_Data[[#This Row],[Date of Birth]],Sales_Data[[#This Row],[Order Date]],"y")</f>
        <v>58</v>
      </c>
      <c r="P126" t="str" cm="1">
        <f t="array" ref="P126">_xlfn.IFS(Sales_Data[[#This Row],[Age ]]&lt;=30,"Young Adult",Sales_Data[[#This Row],[Age ]]&lt;=45,"Senior",Sales_Data[[#This Row],[Age ]]&lt;=60,"Adult",Sales_Data[[#This Row],[Age ]]&gt;=61,"Elderly")</f>
        <v>Adult</v>
      </c>
    </row>
    <row r="127" spans="1:16" x14ac:dyDescent="0.3">
      <c r="A127" t="s">
        <v>176</v>
      </c>
      <c r="B127" t="s">
        <v>25</v>
      </c>
      <c r="C127" t="s">
        <v>12</v>
      </c>
      <c r="D127" t="s">
        <v>66</v>
      </c>
      <c r="E127" t="s">
        <v>67</v>
      </c>
      <c r="F127">
        <v>12</v>
      </c>
      <c r="G127" s="2">
        <v>18</v>
      </c>
      <c r="H127" s="2">
        <v>216</v>
      </c>
      <c r="I127" t="s">
        <v>15</v>
      </c>
      <c r="J127" t="s">
        <v>34</v>
      </c>
      <c r="K127" t="str">
        <f>TEXT(Sales_Data[[#This Row],[Order Date]],"yyyy")</f>
        <v>2026</v>
      </c>
      <c r="L127" t="str">
        <f>TEXT(Sales_Data[[#This Row],[Order Date]],"mmmm")</f>
        <v>January</v>
      </c>
      <c r="M127" s="1">
        <v>46027</v>
      </c>
      <c r="N127" s="1">
        <v>27495</v>
      </c>
      <c r="O127">
        <f>DATEDIF(Sales_Data[[#This Row],[Date of Birth]],Sales_Data[[#This Row],[Order Date]],"y")</f>
        <v>50</v>
      </c>
      <c r="P127" t="str" cm="1">
        <f t="array" ref="P127">_xlfn.IFS(Sales_Data[[#This Row],[Age ]]&lt;=30,"Young Adult",Sales_Data[[#This Row],[Age ]]&lt;=45,"Senior",Sales_Data[[#This Row],[Age ]]&lt;=60,"Adult",Sales_Data[[#This Row],[Age ]]&gt;=61,"Elderly")</f>
        <v>Adult</v>
      </c>
    </row>
    <row r="128" spans="1:16" x14ac:dyDescent="0.3">
      <c r="A128" t="s">
        <v>177</v>
      </c>
      <c r="B128" t="s">
        <v>11</v>
      </c>
      <c r="C128" t="s">
        <v>69</v>
      </c>
      <c r="D128" t="s">
        <v>20</v>
      </c>
      <c r="E128" t="s">
        <v>36</v>
      </c>
      <c r="F128">
        <v>33</v>
      </c>
      <c r="G128" s="2">
        <v>1295</v>
      </c>
      <c r="H128" s="2">
        <v>42735</v>
      </c>
      <c r="I128" t="s">
        <v>22</v>
      </c>
      <c r="J128" t="s">
        <v>34</v>
      </c>
      <c r="K128" t="str">
        <f>TEXT(Sales_Data[[#This Row],[Order Date]],"yyyy")</f>
        <v>2026</v>
      </c>
      <c r="L128" t="str">
        <f>TEXT(Sales_Data[[#This Row],[Order Date]],"mmmm")</f>
        <v>February</v>
      </c>
      <c r="M128" s="1">
        <v>46068</v>
      </c>
      <c r="N128" s="1">
        <v>37207</v>
      </c>
      <c r="O128">
        <f>DATEDIF(Sales_Data[[#This Row],[Date of Birth]],Sales_Data[[#This Row],[Order Date]],"y")</f>
        <v>24</v>
      </c>
      <c r="P128" t="str" cm="1">
        <f t="array" ref="P128">_xlfn.IFS(Sales_Data[[#This Row],[Age ]]&lt;=30,"Young Adult",Sales_Data[[#This Row],[Age ]]&lt;=45,"Senior",Sales_Data[[#This Row],[Age ]]&lt;=60,"Adult",Sales_Data[[#This Row],[Age ]]&gt;=61,"Elderly")</f>
        <v>Young Adult</v>
      </c>
    </row>
    <row r="129" spans="1:16" x14ac:dyDescent="0.3">
      <c r="A129" t="s">
        <v>178</v>
      </c>
      <c r="B129" t="s">
        <v>18</v>
      </c>
      <c r="C129" t="s">
        <v>55</v>
      </c>
      <c r="D129" t="s">
        <v>13</v>
      </c>
      <c r="E129" t="s">
        <v>14</v>
      </c>
      <c r="F129">
        <v>31</v>
      </c>
      <c r="G129" s="2">
        <v>922</v>
      </c>
      <c r="H129" s="2">
        <v>28582</v>
      </c>
      <c r="I129" t="s">
        <v>22</v>
      </c>
      <c r="J129" t="s">
        <v>23</v>
      </c>
      <c r="K129" t="str">
        <f>TEXT(Sales_Data[[#This Row],[Order Date]],"yyyy")</f>
        <v>2026</v>
      </c>
      <c r="L129" t="str">
        <f>TEXT(Sales_Data[[#This Row],[Order Date]],"mmmm")</f>
        <v>July</v>
      </c>
      <c r="M129" s="1">
        <v>46225</v>
      </c>
      <c r="N129" s="1">
        <v>24268</v>
      </c>
      <c r="O129">
        <f>DATEDIF(Sales_Data[[#This Row],[Date of Birth]],Sales_Data[[#This Row],[Order Date]],"y")</f>
        <v>60</v>
      </c>
      <c r="P129" t="str" cm="1">
        <f t="array" ref="P129">_xlfn.IFS(Sales_Data[[#This Row],[Age ]]&lt;=30,"Young Adult",Sales_Data[[#This Row],[Age ]]&lt;=45,"Senior",Sales_Data[[#This Row],[Age ]]&lt;=60,"Adult",Sales_Data[[#This Row],[Age ]]&gt;=61,"Elderly")</f>
        <v>Adult</v>
      </c>
    </row>
    <row r="130" spans="1:16" x14ac:dyDescent="0.3">
      <c r="A130" t="s">
        <v>179</v>
      </c>
      <c r="B130" t="s">
        <v>29</v>
      </c>
      <c r="C130" t="s">
        <v>26</v>
      </c>
      <c r="D130" t="s">
        <v>13</v>
      </c>
      <c r="E130" t="s">
        <v>40</v>
      </c>
      <c r="F130">
        <v>39</v>
      </c>
      <c r="G130" s="2">
        <v>403</v>
      </c>
      <c r="H130" s="2">
        <v>15717</v>
      </c>
      <c r="I130" t="s">
        <v>22</v>
      </c>
      <c r="J130" t="s">
        <v>16</v>
      </c>
      <c r="K130" t="str">
        <f>TEXT(Sales_Data[[#This Row],[Order Date]],"yyyy")</f>
        <v>2026</v>
      </c>
      <c r="L130" t="str">
        <f>TEXT(Sales_Data[[#This Row],[Order Date]],"mmmm")</f>
        <v>February</v>
      </c>
      <c r="M130" s="1">
        <v>46058</v>
      </c>
      <c r="N130" s="1">
        <v>36932</v>
      </c>
      <c r="O130">
        <f>DATEDIF(Sales_Data[[#This Row],[Date of Birth]],Sales_Data[[#This Row],[Order Date]],"y")</f>
        <v>24</v>
      </c>
      <c r="P130" t="str" cm="1">
        <f t="array" ref="P130">_xlfn.IFS(Sales_Data[[#This Row],[Age ]]&lt;=30,"Young Adult",Sales_Data[[#This Row],[Age ]]&lt;=45,"Senior",Sales_Data[[#This Row],[Age ]]&lt;=60,"Adult",Sales_Data[[#This Row],[Age ]]&gt;=61,"Elderly")</f>
        <v>Young Adult</v>
      </c>
    </row>
    <row r="131" spans="1:16" x14ac:dyDescent="0.3">
      <c r="A131" t="s">
        <v>180</v>
      </c>
      <c r="B131" t="s">
        <v>18</v>
      </c>
      <c r="C131" t="s">
        <v>19</v>
      </c>
      <c r="D131" t="s">
        <v>66</v>
      </c>
      <c r="E131" t="s">
        <v>70</v>
      </c>
      <c r="F131">
        <v>33</v>
      </c>
      <c r="G131" s="2">
        <v>40</v>
      </c>
      <c r="H131" s="2">
        <v>1320</v>
      </c>
      <c r="I131" t="s">
        <v>22</v>
      </c>
      <c r="J131" t="s">
        <v>34</v>
      </c>
      <c r="K131" t="str">
        <f>TEXT(Sales_Data[[#This Row],[Order Date]],"yyyy")</f>
        <v>2026</v>
      </c>
      <c r="L131" t="str">
        <f>TEXT(Sales_Data[[#This Row],[Order Date]],"mmmm")</f>
        <v>July</v>
      </c>
      <c r="M131" s="1">
        <v>46207</v>
      </c>
      <c r="N131" s="1">
        <v>28911</v>
      </c>
      <c r="O131">
        <f>DATEDIF(Sales_Data[[#This Row],[Date of Birth]],Sales_Data[[#This Row],[Order Date]],"y")</f>
        <v>47</v>
      </c>
      <c r="P131" t="str" cm="1">
        <f t="array" ref="P131">_xlfn.IFS(Sales_Data[[#This Row],[Age ]]&lt;=30,"Young Adult",Sales_Data[[#This Row],[Age ]]&lt;=45,"Senior",Sales_Data[[#This Row],[Age ]]&lt;=60,"Adult",Sales_Data[[#This Row],[Age ]]&gt;=61,"Elderly")</f>
        <v>Adult</v>
      </c>
    </row>
    <row r="132" spans="1:16" x14ac:dyDescent="0.3">
      <c r="A132" t="s">
        <v>181</v>
      </c>
      <c r="B132" t="s">
        <v>18</v>
      </c>
      <c r="C132" t="s">
        <v>26</v>
      </c>
      <c r="D132" t="s">
        <v>30</v>
      </c>
      <c r="E132" t="s">
        <v>47</v>
      </c>
      <c r="F132">
        <v>22</v>
      </c>
      <c r="G132" s="2">
        <v>514</v>
      </c>
      <c r="H132" s="2">
        <v>11308</v>
      </c>
      <c r="I132" t="s">
        <v>22</v>
      </c>
      <c r="J132" t="s">
        <v>34</v>
      </c>
      <c r="K132" t="str">
        <f>TEXT(Sales_Data[[#This Row],[Order Date]],"yyyy")</f>
        <v>2026</v>
      </c>
      <c r="L132" t="str">
        <f>TEXT(Sales_Data[[#This Row],[Order Date]],"mmmm")</f>
        <v>July</v>
      </c>
      <c r="M132" s="1">
        <v>46217</v>
      </c>
      <c r="N132" s="1">
        <v>30315</v>
      </c>
      <c r="O132">
        <f>DATEDIF(Sales_Data[[#This Row],[Date of Birth]],Sales_Data[[#This Row],[Order Date]],"y")</f>
        <v>43</v>
      </c>
      <c r="P132" t="str" cm="1">
        <f t="array" ref="P132">_xlfn.IFS(Sales_Data[[#This Row],[Age ]]&lt;=30,"Young Adult",Sales_Data[[#This Row],[Age ]]&lt;=45,"Senior",Sales_Data[[#This Row],[Age ]]&lt;=60,"Adult",Sales_Data[[#This Row],[Age ]]&gt;=61,"Elderly")</f>
        <v>Senior</v>
      </c>
    </row>
    <row r="133" spans="1:16" x14ac:dyDescent="0.3">
      <c r="A133" t="s">
        <v>182</v>
      </c>
      <c r="B133" t="s">
        <v>18</v>
      </c>
      <c r="C133" t="s">
        <v>12</v>
      </c>
      <c r="D133" t="s">
        <v>66</v>
      </c>
      <c r="E133" t="s">
        <v>77</v>
      </c>
      <c r="F133">
        <v>10</v>
      </c>
      <c r="G133" s="2">
        <v>45</v>
      </c>
      <c r="H133" s="2">
        <v>450</v>
      </c>
      <c r="I133" t="s">
        <v>15</v>
      </c>
      <c r="J133" t="s">
        <v>34</v>
      </c>
      <c r="K133" t="str">
        <f>TEXT(Sales_Data[[#This Row],[Order Date]],"yyyy")</f>
        <v>2026</v>
      </c>
      <c r="L133" t="str">
        <f>TEXT(Sales_Data[[#This Row],[Order Date]],"mmmm")</f>
        <v>August</v>
      </c>
      <c r="M133" s="1">
        <v>46237</v>
      </c>
      <c r="N133" s="1">
        <v>28129</v>
      </c>
      <c r="O133">
        <f>DATEDIF(Sales_Data[[#This Row],[Date of Birth]],Sales_Data[[#This Row],[Order Date]],"y")</f>
        <v>49</v>
      </c>
      <c r="P133" t="str" cm="1">
        <f t="array" ref="P133">_xlfn.IFS(Sales_Data[[#This Row],[Age ]]&lt;=30,"Young Adult",Sales_Data[[#This Row],[Age ]]&lt;=45,"Senior",Sales_Data[[#This Row],[Age ]]&lt;=60,"Adult",Sales_Data[[#This Row],[Age ]]&gt;=61,"Elderly")</f>
        <v>Adult</v>
      </c>
    </row>
    <row r="134" spans="1:16" x14ac:dyDescent="0.3">
      <c r="A134" t="s">
        <v>183</v>
      </c>
      <c r="B134" t="s">
        <v>29</v>
      </c>
      <c r="C134" t="s">
        <v>12</v>
      </c>
      <c r="D134" t="s">
        <v>13</v>
      </c>
      <c r="E134" t="s">
        <v>40</v>
      </c>
      <c r="F134">
        <v>9</v>
      </c>
      <c r="G134" s="2">
        <v>222</v>
      </c>
      <c r="H134" s="2">
        <v>1998</v>
      </c>
      <c r="I134" t="s">
        <v>22</v>
      </c>
      <c r="J134" t="s">
        <v>34</v>
      </c>
      <c r="K134" t="str">
        <f>TEXT(Sales_Data[[#This Row],[Order Date]],"yyyy")</f>
        <v>2026</v>
      </c>
      <c r="L134" t="str">
        <f>TEXT(Sales_Data[[#This Row],[Order Date]],"mmmm")</f>
        <v>October</v>
      </c>
      <c r="M134" s="1">
        <v>46313</v>
      </c>
      <c r="N134" s="1">
        <v>24827</v>
      </c>
      <c r="O134">
        <f>DATEDIF(Sales_Data[[#This Row],[Date of Birth]],Sales_Data[[#This Row],[Order Date]],"y")</f>
        <v>58</v>
      </c>
      <c r="P134" t="str" cm="1">
        <f t="array" ref="P134">_xlfn.IFS(Sales_Data[[#This Row],[Age ]]&lt;=30,"Young Adult",Sales_Data[[#This Row],[Age ]]&lt;=45,"Senior",Sales_Data[[#This Row],[Age ]]&lt;=60,"Adult",Sales_Data[[#This Row],[Age ]]&gt;=61,"Elderly")</f>
        <v>Adult</v>
      </c>
    </row>
    <row r="135" spans="1:16" x14ac:dyDescent="0.3">
      <c r="A135" t="s">
        <v>184</v>
      </c>
      <c r="B135" t="s">
        <v>18</v>
      </c>
      <c r="C135" t="s">
        <v>19</v>
      </c>
      <c r="D135" t="s">
        <v>20</v>
      </c>
      <c r="E135" t="s">
        <v>21</v>
      </c>
      <c r="F135">
        <v>19</v>
      </c>
      <c r="G135" s="2">
        <v>1309</v>
      </c>
      <c r="H135" s="2">
        <v>24871</v>
      </c>
      <c r="I135" t="s">
        <v>15</v>
      </c>
      <c r="J135" t="s">
        <v>16</v>
      </c>
      <c r="K135" t="str">
        <f>TEXT(Sales_Data[[#This Row],[Order Date]],"yyyy")</f>
        <v>2026</v>
      </c>
      <c r="L135" t="str">
        <f>TEXT(Sales_Data[[#This Row],[Order Date]],"mmmm")</f>
        <v>May</v>
      </c>
      <c r="M135" s="1">
        <v>46154</v>
      </c>
      <c r="N135" s="1">
        <v>27199</v>
      </c>
      <c r="O135">
        <f>DATEDIF(Sales_Data[[#This Row],[Date of Birth]],Sales_Data[[#This Row],[Order Date]],"y")</f>
        <v>51</v>
      </c>
      <c r="P135" t="str" cm="1">
        <f t="array" ref="P135">_xlfn.IFS(Sales_Data[[#This Row],[Age ]]&lt;=30,"Young Adult",Sales_Data[[#This Row],[Age ]]&lt;=45,"Senior",Sales_Data[[#This Row],[Age ]]&lt;=60,"Adult",Sales_Data[[#This Row],[Age ]]&gt;=61,"Elderly")</f>
        <v>Adult</v>
      </c>
    </row>
    <row r="136" spans="1:16" x14ac:dyDescent="0.3">
      <c r="A136" t="s">
        <v>185</v>
      </c>
      <c r="B136" t="s">
        <v>18</v>
      </c>
      <c r="C136" t="s">
        <v>46</v>
      </c>
      <c r="D136" t="s">
        <v>20</v>
      </c>
      <c r="E136" t="s">
        <v>43</v>
      </c>
      <c r="F136">
        <v>7</v>
      </c>
      <c r="G136" s="2">
        <v>797</v>
      </c>
      <c r="H136" s="2">
        <v>5579</v>
      </c>
      <c r="I136" t="s">
        <v>15</v>
      </c>
      <c r="J136" t="s">
        <v>34</v>
      </c>
      <c r="K136" t="str">
        <f>TEXT(Sales_Data[[#This Row],[Order Date]],"yyyy")</f>
        <v>2026</v>
      </c>
      <c r="L136" t="str">
        <f>TEXT(Sales_Data[[#This Row],[Order Date]],"mmmm")</f>
        <v>September</v>
      </c>
      <c r="M136" s="1">
        <v>46277</v>
      </c>
      <c r="N136" s="1">
        <v>38703</v>
      </c>
      <c r="O136">
        <f>DATEDIF(Sales_Data[[#This Row],[Date of Birth]],Sales_Data[[#This Row],[Order Date]],"y")</f>
        <v>20</v>
      </c>
      <c r="P136" t="str" cm="1">
        <f t="array" ref="P136">_xlfn.IFS(Sales_Data[[#This Row],[Age ]]&lt;=30,"Young Adult",Sales_Data[[#This Row],[Age ]]&lt;=45,"Senior",Sales_Data[[#This Row],[Age ]]&lt;=60,"Adult",Sales_Data[[#This Row],[Age ]]&gt;=61,"Elderly")</f>
        <v>Young Adult</v>
      </c>
    </row>
    <row r="137" spans="1:16" x14ac:dyDescent="0.3">
      <c r="A137" t="s">
        <v>186</v>
      </c>
      <c r="B137" t="s">
        <v>29</v>
      </c>
      <c r="C137" t="s">
        <v>46</v>
      </c>
      <c r="D137" t="s">
        <v>13</v>
      </c>
      <c r="E137" t="s">
        <v>49</v>
      </c>
      <c r="F137">
        <v>43</v>
      </c>
      <c r="G137" s="2">
        <v>647</v>
      </c>
      <c r="H137" s="2">
        <v>27821</v>
      </c>
      <c r="I137" t="s">
        <v>22</v>
      </c>
      <c r="J137" t="s">
        <v>34</v>
      </c>
      <c r="K137" t="str">
        <f>TEXT(Sales_Data[[#This Row],[Order Date]],"yyyy")</f>
        <v>2026</v>
      </c>
      <c r="L137" t="str">
        <f>TEXT(Sales_Data[[#This Row],[Order Date]],"mmmm")</f>
        <v>January</v>
      </c>
      <c r="M137" s="1">
        <v>46028</v>
      </c>
      <c r="N137" s="1">
        <v>33035</v>
      </c>
      <c r="O137">
        <f>DATEDIF(Sales_Data[[#This Row],[Date of Birth]],Sales_Data[[#This Row],[Order Date]],"y")</f>
        <v>35</v>
      </c>
      <c r="P137" t="str" cm="1">
        <f t="array" ref="P137">_xlfn.IFS(Sales_Data[[#This Row],[Age ]]&lt;=30,"Young Adult",Sales_Data[[#This Row],[Age ]]&lt;=45,"Senior",Sales_Data[[#This Row],[Age ]]&lt;=60,"Adult",Sales_Data[[#This Row],[Age ]]&gt;=61,"Elderly")</f>
        <v>Senior</v>
      </c>
    </row>
    <row r="138" spans="1:16" x14ac:dyDescent="0.3">
      <c r="A138" t="s">
        <v>187</v>
      </c>
      <c r="B138" t="s">
        <v>18</v>
      </c>
      <c r="C138" t="s">
        <v>12</v>
      </c>
      <c r="D138" t="s">
        <v>13</v>
      </c>
      <c r="E138" t="s">
        <v>59</v>
      </c>
      <c r="F138">
        <v>10</v>
      </c>
      <c r="G138" s="2">
        <v>920</v>
      </c>
      <c r="H138" s="2">
        <v>9200</v>
      </c>
      <c r="I138" t="s">
        <v>15</v>
      </c>
      <c r="J138" t="s">
        <v>34</v>
      </c>
      <c r="K138" t="str">
        <f>TEXT(Sales_Data[[#This Row],[Order Date]],"yyyy")</f>
        <v>2026</v>
      </c>
      <c r="L138" t="str">
        <f>TEXT(Sales_Data[[#This Row],[Order Date]],"mmmm")</f>
        <v>February</v>
      </c>
      <c r="M138" s="1">
        <v>46058</v>
      </c>
      <c r="N138" s="1">
        <v>38101</v>
      </c>
      <c r="O138">
        <f>DATEDIF(Sales_Data[[#This Row],[Date of Birth]],Sales_Data[[#This Row],[Order Date]],"y")</f>
        <v>21</v>
      </c>
      <c r="P138" t="str" cm="1">
        <f t="array" ref="P138">_xlfn.IFS(Sales_Data[[#This Row],[Age ]]&lt;=30,"Young Adult",Sales_Data[[#This Row],[Age ]]&lt;=45,"Senior",Sales_Data[[#This Row],[Age ]]&lt;=60,"Adult",Sales_Data[[#This Row],[Age ]]&gt;=61,"Elderly")</f>
        <v>Young Adult</v>
      </c>
    </row>
    <row r="139" spans="1:16" x14ac:dyDescent="0.3">
      <c r="A139" t="s">
        <v>188</v>
      </c>
      <c r="B139" t="s">
        <v>29</v>
      </c>
      <c r="C139" t="s">
        <v>12</v>
      </c>
      <c r="D139" t="s">
        <v>20</v>
      </c>
      <c r="E139" t="s">
        <v>104</v>
      </c>
      <c r="F139">
        <v>22</v>
      </c>
      <c r="G139" s="2">
        <v>402</v>
      </c>
      <c r="H139" s="2">
        <v>8844</v>
      </c>
      <c r="I139" t="s">
        <v>15</v>
      </c>
      <c r="J139" t="s">
        <v>23</v>
      </c>
      <c r="K139" t="str">
        <f>TEXT(Sales_Data[[#This Row],[Order Date]],"yyyy")</f>
        <v>2026</v>
      </c>
      <c r="L139" t="str">
        <f>TEXT(Sales_Data[[#This Row],[Order Date]],"mmmm")</f>
        <v>June</v>
      </c>
      <c r="M139" s="1">
        <v>46183</v>
      </c>
      <c r="N139" s="1">
        <v>35505</v>
      </c>
      <c r="O139">
        <f>DATEDIF(Sales_Data[[#This Row],[Date of Birth]],Sales_Data[[#This Row],[Order Date]],"y")</f>
        <v>29</v>
      </c>
      <c r="P139" t="str" cm="1">
        <f t="array" ref="P139">_xlfn.IFS(Sales_Data[[#This Row],[Age ]]&lt;=30,"Young Adult",Sales_Data[[#This Row],[Age ]]&lt;=45,"Senior",Sales_Data[[#This Row],[Age ]]&lt;=60,"Adult",Sales_Data[[#This Row],[Age ]]&gt;=61,"Elderly")</f>
        <v>Young Adult</v>
      </c>
    </row>
    <row r="140" spans="1:16" x14ac:dyDescent="0.3">
      <c r="A140" t="s">
        <v>189</v>
      </c>
      <c r="B140" t="s">
        <v>25</v>
      </c>
      <c r="C140" t="s">
        <v>42</v>
      </c>
      <c r="D140" t="s">
        <v>30</v>
      </c>
      <c r="E140" t="s">
        <v>61</v>
      </c>
      <c r="F140">
        <v>4</v>
      </c>
      <c r="G140" s="2">
        <v>740</v>
      </c>
      <c r="H140" s="2">
        <v>2960</v>
      </c>
      <c r="I140" t="s">
        <v>22</v>
      </c>
      <c r="J140" t="s">
        <v>16</v>
      </c>
      <c r="K140" t="str">
        <f>TEXT(Sales_Data[[#This Row],[Order Date]],"yyyy")</f>
        <v>2026</v>
      </c>
      <c r="L140" t="str">
        <f>TEXT(Sales_Data[[#This Row],[Order Date]],"mmmm")</f>
        <v>February</v>
      </c>
      <c r="M140" s="1">
        <v>46062</v>
      </c>
      <c r="N140" s="1">
        <v>28898</v>
      </c>
      <c r="O140">
        <f>DATEDIF(Sales_Data[[#This Row],[Date of Birth]],Sales_Data[[#This Row],[Order Date]],"y")</f>
        <v>46</v>
      </c>
      <c r="P140" t="str" cm="1">
        <f t="array" ref="P140">_xlfn.IFS(Sales_Data[[#This Row],[Age ]]&lt;=30,"Young Adult",Sales_Data[[#This Row],[Age ]]&lt;=45,"Senior",Sales_Data[[#This Row],[Age ]]&lt;=60,"Adult",Sales_Data[[#This Row],[Age ]]&gt;=61,"Elderly")</f>
        <v>Adult</v>
      </c>
    </row>
    <row r="141" spans="1:16" x14ac:dyDescent="0.3">
      <c r="A141" t="s">
        <v>190</v>
      </c>
      <c r="B141" t="s">
        <v>29</v>
      </c>
      <c r="C141" t="s">
        <v>42</v>
      </c>
      <c r="D141" t="s">
        <v>20</v>
      </c>
      <c r="E141" t="s">
        <v>104</v>
      </c>
      <c r="F141">
        <v>18</v>
      </c>
      <c r="G141" s="2">
        <v>521</v>
      </c>
      <c r="H141" s="2">
        <v>9378</v>
      </c>
      <c r="I141" t="s">
        <v>15</v>
      </c>
      <c r="J141" t="s">
        <v>34</v>
      </c>
      <c r="K141" t="str">
        <f>TEXT(Sales_Data[[#This Row],[Order Date]],"yyyy")</f>
        <v>2026</v>
      </c>
      <c r="L141" t="str">
        <f>TEXT(Sales_Data[[#This Row],[Order Date]],"mmmm")</f>
        <v>September</v>
      </c>
      <c r="M141" s="1">
        <v>46269</v>
      </c>
      <c r="N141" s="1">
        <v>27226</v>
      </c>
      <c r="O141">
        <f>DATEDIF(Sales_Data[[#This Row],[Date of Birth]],Sales_Data[[#This Row],[Order Date]],"y")</f>
        <v>52</v>
      </c>
      <c r="P141" t="str" cm="1">
        <f t="array" ref="P141">_xlfn.IFS(Sales_Data[[#This Row],[Age ]]&lt;=30,"Young Adult",Sales_Data[[#This Row],[Age ]]&lt;=45,"Senior",Sales_Data[[#This Row],[Age ]]&lt;=60,"Adult",Sales_Data[[#This Row],[Age ]]&gt;=61,"Elderly")</f>
        <v>Adult</v>
      </c>
    </row>
    <row r="142" spans="1:16" x14ac:dyDescent="0.3">
      <c r="A142" t="s">
        <v>191</v>
      </c>
      <c r="B142" t="s">
        <v>25</v>
      </c>
      <c r="C142" t="s">
        <v>69</v>
      </c>
      <c r="D142" t="s">
        <v>20</v>
      </c>
      <c r="E142" t="s">
        <v>27</v>
      </c>
      <c r="F142">
        <v>43</v>
      </c>
      <c r="G142" s="2">
        <v>711</v>
      </c>
      <c r="H142" s="2">
        <v>30573</v>
      </c>
      <c r="I142" t="s">
        <v>15</v>
      </c>
      <c r="J142" t="s">
        <v>23</v>
      </c>
      <c r="K142" t="str">
        <f>TEXT(Sales_Data[[#This Row],[Order Date]],"yyyy")</f>
        <v>2026</v>
      </c>
      <c r="L142" t="str">
        <f>TEXT(Sales_Data[[#This Row],[Order Date]],"mmmm")</f>
        <v>January</v>
      </c>
      <c r="M142" s="1">
        <v>46030</v>
      </c>
      <c r="N142" s="1">
        <v>34481</v>
      </c>
      <c r="O142">
        <f>DATEDIF(Sales_Data[[#This Row],[Date of Birth]],Sales_Data[[#This Row],[Order Date]],"y")</f>
        <v>31</v>
      </c>
      <c r="P142" t="str" cm="1">
        <f t="array" ref="P142">_xlfn.IFS(Sales_Data[[#This Row],[Age ]]&lt;=30,"Young Adult",Sales_Data[[#This Row],[Age ]]&lt;=45,"Senior",Sales_Data[[#This Row],[Age ]]&lt;=60,"Adult",Sales_Data[[#This Row],[Age ]]&gt;=61,"Elderly")</f>
        <v>Senior</v>
      </c>
    </row>
    <row r="143" spans="1:16" x14ac:dyDescent="0.3">
      <c r="A143" t="s">
        <v>192</v>
      </c>
      <c r="B143" t="s">
        <v>29</v>
      </c>
      <c r="C143" t="s">
        <v>12</v>
      </c>
      <c r="D143" t="s">
        <v>66</v>
      </c>
      <c r="E143" t="s">
        <v>83</v>
      </c>
      <c r="F143">
        <v>50</v>
      </c>
      <c r="G143" s="2">
        <v>10</v>
      </c>
      <c r="H143" s="2">
        <v>500</v>
      </c>
      <c r="I143" t="s">
        <v>15</v>
      </c>
      <c r="J143" t="s">
        <v>34</v>
      </c>
      <c r="K143" t="str">
        <f>TEXT(Sales_Data[[#This Row],[Order Date]],"yyyy")</f>
        <v>2026</v>
      </c>
      <c r="L143" t="str">
        <f>TEXT(Sales_Data[[#This Row],[Order Date]],"mmmm")</f>
        <v>May</v>
      </c>
      <c r="M143" s="1">
        <v>46152</v>
      </c>
      <c r="N143" s="1">
        <v>31922</v>
      </c>
      <c r="O143">
        <f>DATEDIF(Sales_Data[[#This Row],[Date of Birth]],Sales_Data[[#This Row],[Order Date]],"y")</f>
        <v>38</v>
      </c>
      <c r="P143" t="str" cm="1">
        <f t="array" ref="P143">_xlfn.IFS(Sales_Data[[#This Row],[Age ]]&lt;=30,"Young Adult",Sales_Data[[#This Row],[Age ]]&lt;=45,"Senior",Sales_Data[[#This Row],[Age ]]&lt;=60,"Adult",Sales_Data[[#This Row],[Age ]]&gt;=61,"Elderly")</f>
        <v>Senior</v>
      </c>
    </row>
    <row r="144" spans="1:16" x14ac:dyDescent="0.3">
      <c r="A144" t="s">
        <v>193</v>
      </c>
      <c r="B144" t="s">
        <v>11</v>
      </c>
      <c r="C144" t="s">
        <v>26</v>
      </c>
      <c r="D144" t="s">
        <v>20</v>
      </c>
      <c r="E144" t="s">
        <v>43</v>
      </c>
      <c r="F144">
        <v>9</v>
      </c>
      <c r="G144" s="2">
        <v>858</v>
      </c>
      <c r="H144" s="2">
        <v>7722</v>
      </c>
      <c r="I144" t="s">
        <v>15</v>
      </c>
      <c r="J144" t="s">
        <v>34</v>
      </c>
      <c r="K144" t="str">
        <f>TEXT(Sales_Data[[#This Row],[Order Date]],"yyyy")</f>
        <v>2026</v>
      </c>
      <c r="L144" t="str">
        <f>TEXT(Sales_Data[[#This Row],[Order Date]],"mmmm")</f>
        <v>September</v>
      </c>
      <c r="M144" s="1">
        <v>46288</v>
      </c>
      <c r="N144" s="1">
        <v>30225</v>
      </c>
      <c r="O144">
        <f>DATEDIF(Sales_Data[[#This Row],[Date of Birth]],Sales_Data[[#This Row],[Order Date]],"y")</f>
        <v>43</v>
      </c>
      <c r="P144" t="str" cm="1">
        <f t="array" ref="P144">_xlfn.IFS(Sales_Data[[#This Row],[Age ]]&lt;=30,"Young Adult",Sales_Data[[#This Row],[Age ]]&lt;=45,"Senior",Sales_Data[[#This Row],[Age ]]&lt;=60,"Adult",Sales_Data[[#This Row],[Age ]]&gt;=61,"Elderly")</f>
        <v>Senior</v>
      </c>
    </row>
    <row r="145" spans="1:16" x14ac:dyDescent="0.3">
      <c r="A145" t="s">
        <v>194</v>
      </c>
      <c r="B145" t="s">
        <v>29</v>
      </c>
      <c r="C145" t="s">
        <v>42</v>
      </c>
      <c r="D145" t="s">
        <v>13</v>
      </c>
      <c r="E145" t="s">
        <v>63</v>
      </c>
      <c r="F145">
        <v>2</v>
      </c>
      <c r="G145" s="2">
        <v>1041</v>
      </c>
      <c r="H145" s="2">
        <v>2082</v>
      </c>
      <c r="I145" t="s">
        <v>22</v>
      </c>
      <c r="J145" t="s">
        <v>16</v>
      </c>
      <c r="K145" t="str">
        <f>TEXT(Sales_Data[[#This Row],[Order Date]],"yyyy")</f>
        <v>2026</v>
      </c>
      <c r="L145" t="str">
        <f>TEXT(Sales_Data[[#This Row],[Order Date]],"mmmm")</f>
        <v>February</v>
      </c>
      <c r="M145" s="1">
        <v>46081</v>
      </c>
      <c r="N145" s="1">
        <v>38237</v>
      </c>
      <c r="O145">
        <f>DATEDIF(Sales_Data[[#This Row],[Date of Birth]],Sales_Data[[#This Row],[Order Date]],"y")</f>
        <v>21</v>
      </c>
      <c r="P145" t="str" cm="1">
        <f t="array" ref="P145">_xlfn.IFS(Sales_Data[[#This Row],[Age ]]&lt;=30,"Young Adult",Sales_Data[[#This Row],[Age ]]&lt;=45,"Senior",Sales_Data[[#This Row],[Age ]]&lt;=60,"Adult",Sales_Data[[#This Row],[Age ]]&gt;=61,"Elderly")</f>
        <v>Young Adult</v>
      </c>
    </row>
    <row r="146" spans="1:16" x14ac:dyDescent="0.3">
      <c r="A146" t="s">
        <v>195</v>
      </c>
      <c r="B146" t="s">
        <v>11</v>
      </c>
      <c r="C146" t="s">
        <v>55</v>
      </c>
      <c r="D146" t="s">
        <v>20</v>
      </c>
      <c r="E146" t="s">
        <v>36</v>
      </c>
      <c r="F146">
        <v>8</v>
      </c>
      <c r="G146" s="2">
        <v>909</v>
      </c>
      <c r="H146" s="2">
        <v>7272</v>
      </c>
      <c r="I146" t="s">
        <v>22</v>
      </c>
      <c r="J146" t="s">
        <v>23</v>
      </c>
      <c r="K146" t="str">
        <f>TEXT(Sales_Data[[#This Row],[Order Date]],"yyyy")</f>
        <v>2026</v>
      </c>
      <c r="L146" t="str">
        <f>TEXT(Sales_Data[[#This Row],[Order Date]],"mmmm")</f>
        <v>January</v>
      </c>
      <c r="M146" s="1">
        <v>46033</v>
      </c>
      <c r="N146" s="1">
        <v>34275</v>
      </c>
      <c r="O146">
        <f>DATEDIF(Sales_Data[[#This Row],[Date of Birth]],Sales_Data[[#This Row],[Order Date]],"y")</f>
        <v>32</v>
      </c>
      <c r="P146" t="str" cm="1">
        <f t="array" ref="P146">_xlfn.IFS(Sales_Data[[#This Row],[Age ]]&lt;=30,"Young Adult",Sales_Data[[#This Row],[Age ]]&lt;=45,"Senior",Sales_Data[[#This Row],[Age ]]&lt;=60,"Adult",Sales_Data[[#This Row],[Age ]]&gt;=61,"Elderly")</f>
        <v>Senior</v>
      </c>
    </row>
    <row r="147" spans="1:16" x14ac:dyDescent="0.3">
      <c r="A147" t="s">
        <v>196</v>
      </c>
      <c r="B147" t="s">
        <v>18</v>
      </c>
      <c r="C147" t="s">
        <v>42</v>
      </c>
      <c r="D147" t="s">
        <v>20</v>
      </c>
      <c r="E147" t="s">
        <v>21</v>
      </c>
      <c r="F147">
        <v>16</v>
      </c>
      <c r="G147" s="2">
        <v>972</v>
      </c>
      <c r="H147" s="2">
        <v>15552</v>
      </c>
      <c r="I147" t="s">
        <v>22</v>
      </c>
      <c r="J147" t="s">
        <v>16</v>
      </c>
      <c r="K147" t="str">
        <f>TEXT(Sales_Data[[#This Row],[Order Date]],"yyyy")</f>
        <v>2026</v>
      </c>
      <c r="L147" t="str">
        <f>TEXT(Sales_Data[[#This Row],[Order Date]],"mmmm")</f>
        <v>October</v>
      </c>
      <c r="M147" s="1">
        <v>46308</v>
      </c>
      <c r="N147" s="1">
        <v>31260</v>
      </c>
      <c r="O147">
        <f>DATEDIF(Sales_Data[[#This Row],[Date of Birth]],Sales_Data[[#This Row],[Order Date]],"y")</f>
        <v>41</v>
      </c>
      <c r="P147" t="str" cm="1">
        <f t="array" ref="P147">_xlfn.IFS(Sales_Data[[#This Row],[Age ]]&lt;=30,"Young Adult",Sales_Data[[#This Row],[Age ]]&lt;=45,"Senior",Sales_Data[[#This Row],[Age ]]&lt;=60,"Adult",Sales_Data[[#This Row],[Age ]]&gt;=61,"Elderly")</f>
        <v>Senior</v>
      </c>
    </row>
    <row r="148" spans="1:16" x14ac:dyDescent="0.3">
      <c r="A148" t="s">
        <v>197</v>
      </c>
      <c r="B148" t="s">
        <v>18</v>
      </c>
      <c r="C148" t="s">
        <v>19</v>
      </c>
      <c r="D148" t="s">
        <v>66</v>
      </c>
      <c r="E148" t="s">
        <v>83</v>
      </c>
      <c r="F148">
        <v>22</v>
      </c>
      <c r="G148" s="2">
        <v>12</v>
      </c>
      <c r="H148" s="2">
        <v>264</v>
      </c>
      <c r="I148" t="s">
        <v>22</v>
      </c>
      <c r="J148" t="s">
        <v>34</v>
      </c>
      <c r="K148" t="str">
        <f>TEXT(Sales_Data[[#This Row],[Order Date]],"yyyy")</f>
        <v>2026</v>
      </c>
      <c r="L148" t="str">
        <f>TEXT(Sales_Data[[#This Row],[Order Date]],"mmmm")</f>
        <v>February</v>
      </c>
      <c r="M148" s="1">
        <v>46070</v>
      </c>
      <c r="N148" s="1">
        <v>26083</v>
      </c>
      <c r="O148">
        <f>DATEDIF(Sales_Data[[#This Row],[Date of Birth]],Sales_Data[[#This Row],[Order Date]],"y")</f>
        <v>54</v>
      </c>
      <c r="P148" t="str" cm="1">
        <f t="array" ref="P148">_xlfn.IFS(Sales_Data[[#This Row],[Age ]]&lt;=30,"Young Adult",Sales_Data[[#This Row],[Age ]]&lt;=45,"Senior",Sales_Data[[#This Row],[Age ]]&lt;=60,"Adult",Sales_Data[[#This Row],[Age ]]&gt;=61,"Elderly")</f>
        <v>Adult</v>
      </c>
    </row>
    <row r="149" spans="1:16" x14ac:dyDescent="0.3">
      <c r="A149" t="s">
        <v>198</v>
      </c>
      <c r="B149" t="s">
        <v>11</v>
      </c>
      <c r="C149" t="s">
        <v>65</v>
      </c>
      <c r="D149" t="s">
        <v>30</v>
      </c>
      <c r="E149" t="s">
        <v>38</v>
      </c>
      <c r="F149">
        <v>7</v>
      </c>
      <c r="G149" s="2">
        <v>199</v>
      </c>
      <c r="H149" s="2">
        <v>1393</v>
      </c>
      <c r="I149" t="s">
        <v>15</v>
      </c>
      <c r="J149" t="s">
        <v>23</v>
      </c>
      <c r="K149" t="str">
        <f>TEXT(Sales_Data[[#This Row],[Order Date]],"yyyy")</f>
        <v>2026</v>
      </c>
      <c r="L149" t="str">
        <f>TEXT(Sales_Data[[#This Row],[Order Date]],"mmmm")</f>
        <v>May</v>
      </c>
      <c r="M149" s="1">
        <v>46149</v>
      </c>
      <c r="N149" s="1">
        <v>28082</v>
      </c>
      <c r="O149">
        <f>DATEDIF(Sales_Data[[#This Row],[Date of Birth]],Sales_Data[[#This Row],[Order Date]],"y")</f>
        <v>49</v>
      </c>
      <c r="P149" t="str" cm="1">
        <f t="array" ref="P149">_xlfn.IFS(Sales_Data[[#This Row],[Age ]]&lt;=30,"Young Adult",Sales_Data[[#This Row],[Age ]]&lt;=45,"Senior",Sales_Data[[#This Row],[Age ]]&lt;=60,"Adult",Sales_Data[[#This Row],[Age ]]&gt;=61,"Elderly")</f>
        <v>Adult</v>
      </c>
    </row>
    <row r="150" spans="1:16" x14ac:dyDescent="0.3">
      <c r="A150" t="s">
        <v>199</v>
      </c>
      <c r="B150" t="s">
        <v>29</v>
      </c>
      <c r="C150" t="s">
        <v>26</v>
      </c>
      <c r="D150" t="s">
        <v>20</v>
      </c>
      <c r="E150" t="s">
        <v>104</v>
      </c>
      <c r="F150">
        <v>49</v>
      </c>
      <c r="G150" s="2">
        <v>1234</v>
      </c>
      <c r="H150" s="2">
        <v>60466</v>
      </c>
      <c r="I150" t="s">
        <v>15</v>
      </c>
      <c r="J150" t="s">
        <v>34</v>
      </c>
      <c r="K150" t="str">
        <f>TEXT(Sales_Data[[#This Row],[Order Date]],"yyyy")</f>
        <v>2026</v>
      </c>
      <c r="L150" t="str">
        <f>TEXT(Sales_Data[[#This Row],[Order Date]],"mmmm")</f>
        <v>October</v>
      </c>
      <c r="M150" s="1">
        <v>46310</v>
      </c>
      <c r="N150" s="1">
        <v>26030</v>
      </c>
      <c r="O150">
        <f>DATEDIF(Sales_Data[[#This Row],[Date of Birth]],Sales_Data[[#This Row],[Order Date]],"y")</f>
        <v>55</v>
      </c>
      <c r="P150" t="str" cm="1">
        <f t="array" ref="P150">_xlfn.IFS(Sales_Data[[#This Row],[Age ]]&lt;=30,"Young Adult",Sales_Data[[#This Row],[Age ]]&lt;=45,"Senior",Sales_Data[[#This Row],[Age ]]&lt;=60,"Adult",Sales_Data[[#This Row],[Age ]]&gt;=61,"Elderly")</f>
        <v>Adult</v>
      </c>
    </row>
    <row r="151" spans="1:16" x14ac:dyDescent="0.3">
      <c r="A151" t="s">
        <v>200</v>
      </c>
      <c r="B151" t="s">
        <v>18</v>
      </c>
      <c r="C151" t="s">
        <v>26</v>
      </c>
      <c r="D151" t="s">
        <v>13</v>
      </c>
      <c r="E151" t="s">
        <v>63</v>
      </c>
      <c r="F151">
        <v>29</v>
      </c>
      <c r="G151" s="2">
        <v>720</v>
      </c>
      <c r="H151" s="2">
        <v>20880</v>
      </c>
      <c r="I151" t="s">
        <v>15</v>
      </c>
      <c r="J151" t="s">
        <v>34</v>
      </c>
      <c r="K151" t="str">
        <f>TEXT(Sales_Data[[#This Row],[Order Date]],"yyyy")</f>
        <v>2026</v>
      </c>
      <c r="L151" t="str">
        <f>TEXT(Sales_Data[[#This Row],[Order Date]],"mmmm")</f>
        <v>May</v>
      </c>
      <c r="M151" s="1">
        <v>46161</v>
      </c>
      <c r="N151" s="1">
        <v>27783</v>
      </c>
      <c r="O151">
        <f>DATEDIF(Sales_Data[[#This Row],[Date of Birth]],Sales_Data[[#This Row],[Order Date]],"y")</f>
        <v>50</v>
      </c>
      <c r="P151" t="str" cm="1">
        <f t="array" ref="P151">_xlfn.IFS(Sales_Data[[#This Row],[Age ]]&lt;=30,"Young Adult",Sales_Data[[#This Row],[Age ]]&lt;=45,"Senior",Sales_Data[[#This Row],[Age ]]&lt;=60,"Adult",Sales_Data[[#This Row],[Age ]]&gt;=61,"Elderly")</f>
        <v>Adult</v>
      </c>
    </row>
    <row r="152" spans="1:16" x14ac:dyDescent="0.3">
      <c r="A152" t="s">
        <v>201</v>
      </c>
      <c r="B152" t="s">
        <v>29</v>
      </c>
      <c r="C152" t="s">
        <v>12</v>
      </c>
      <c r="D152" t="s">
        <v>20</v>
      </c>
      <c r="E152" t="s">
        <v>104</v>
      </c>
      <c r="F152">
        <v>3</v>
      </c>
      <c r="G152" s="2">
        <v>196</v>
      </c>
      <c r="H152" s="2">
        <v>588</v>
      </c>
      <c r="I152" t="s">
        <v>15</v>
      </c>
      <c r="J152" t="s">
        <v>16</v>
      </c>
      <c r="K152" t="str">
        <f>TEXT(Sales_Data[[#This Row],[Order Date]],"yyyy")</f>
        <v>2026</v>
      </c>
      <c r="L152" t="str">
        <f>TEXT(Sales_Data[[#This Row],[Order Date]],"mmmm")</f>
        <v>June</v>
      </c>
      <c r="M152" s="1">
        <v>46200</v>
      </c>
      <c r="N152" s="1">
        <v>35948</v>
      </c>
      <c r="O152">
        <f>DATEDIF(Sales_Data[[#This Row],[Date of Birth]],Sales_Data[[#This Row],[Order Date]],"y")</f>
        <v>28</v>
      </c>
      <c r="P152" t="str" cm="1">
        <f t="array" ref="P152">_xlfn.IFS(Sales_Data[[#This Row],[Age ]]&lt;=30,"Young Adult",Sales_Data[[#This Row],[Age ]]&lt;=45,"Senior",Sales_Data[[#This Row],[Age ]]&lt;=60,"Adult",Sales_Data[[#This Row],[Age ]]&gt;=61,"Elderly")</f>
        <v>Young Adult</v>
      </c>
    </row>
    <row r="153" spans="1:16" x14ac:dyDescent="0.3">
      <c r="A153" t="s">
        <v>202</v>
      </c>
      <c r="B153" t="s">
        <v>25</v>
      </c>
      <c r="C153" t="s">
        <v>19</v>
      </c>
      <c r="D153" t="s">
        <v>20</v>
      </c>
      <c r="E153" t="s">
        <v>104</v>
      </c>
      <c r="F153">
        <v>38</v>
      </c>
      <c r="G153" s="2">
        <v>1215</v>
      </c>
      <c r="H153" s="2">
        <v>46170</v>
      </c>
      <c r="I153" t="s">
        <v>22</v>
      </c>
      <c r="J153" t="s">
        <v>16</v>
      </c>
      <c r="K153" t="str">
        <f>TEXT(Sales_Data[[#This Row],[Order Date]],"yyyy")</f>
        <v>2026</v>
      </c>
      <c r="L153" t="str">
        <f>TEXT(Sales_Data[[#This Row],[Order Date]],"mmmm")</f>
        <v>December</v>
      </c>
      <c r="M153" s="1">
        <v>46358</v>
      </c>
      <c r="N153" s="1">
        <v>32940</v>
      </c>
      <c r="O153">
        <f>DATEDIF(Sales_Data[[#This Row],[Date of Birth]],Sales_Data[[#This Row],[Order Date]],"y")</f>
        <v>36</v>
      </c>
      <c r="P153" t="str" cm="1">
        <f t="array" ref="P153">_xlfn.IFS(Sales_Data[[#This Row],[Age ]]&lt;=30,"Young Adult",Sales_Data[[#This Row],[Age ]]&lt;=45,"Senior",Sales_Data[[#This Row],[Age ]]&lt;=60,"Adult",Sales_Data[[#This Row],[Age ]]&gt;=61,"Elderly")</f>
        <v>Senior</v>
      </c>
    </row>
    <row r="154" spans="1:16" x14ac:dyDescent="0.3">
      <c r="A154" t="s">
        <v>203</v>
      </c>
      <c r="B154" t="s">
        <v>29</v>
      </c>
      <c r="C154" t="s">
        <v>12</v>
      </c>
      <c r="D154" t="s">
        <v>20</v>
      </c>
      <c r="E154" t="s">
        <v>27</v>
      </c>
      <c r="F154">
        <v>10</v>
      </c>
      <c r="G154" s="2">
        <v>206</v>
      </c>
      <c r="H154" s="2">
        <v>2060</v>
      </c>
      <c r="I154" t="s">
        <v>15</v>
      </c>
      <c r="J154" t="s">
        <v>23</v>
      </c>
      <c r="K154" t="str">
        <f>TEXT(Sales_Data[[#This Row],[Order Date]],"yyyy")</f>
        <v>2026</v>
      </c>
      <c r="L154" t="str">
        <f>TEXT(Sales_Data[[#This Row],[Order Date]],"mmmm")</f>
        <v>August</v>
      </c>
      <c r="M154" s="1">
        <v>46238</v>
      </c>
      <c r="N154" s="1">
        <v>32573</v>
      </c>
      <c r="O154">
        <f>DATEDIF(Sales_Data[[#This Row],[Date of Birth]],Sales_Data[[#This Row],[Order Date]],"y")</f>
        <v>37</v>
      </c>
      <c r="P154" t="str" cm="1">
        <f t="array" ref="P154">_xlfn.IFS(Sales_Data[[#This Row],[Age ]]&lt;=30,"Young Adult",Sales_Data[[#This Row],[Age ]]&lt;=45,"Senior",Sales_Data[[#This Row],[Age ]]&lt;=60,"Adult",Sales_Data[[#This Row],[Age ]]&gt;=61,"Elderly")</f>
        <v>Senior</v>
      </c>
    </row>
    <row r="155" spans="1:16" x14ac:dyDescent="0.3">
      <c r="A155" t="s">
        <v>204</v>
      </c>
      <c r="B155" t="s">
        <v>11</v>
      </c>
      <c r="C155" t="s">
        <v>26</v>
      </c>
      <c r="D155" t="s">
        <v>30</v>
      </c>
      <c r="E155" t="s">
        <v>47</v>
      </c>
      <c r="F155">
        <v>29</v>
      </c>
      <c r="G155" s="2">
        <v>586</v>
      </c>
      <c r="H155" s="2">
        <v>16994</v>
      </c>
      <c r="I155" t="s">
        <v>22</v>
      </c>
      <c r="J155" t="s">
        <v>34</v>
      </c>
      <c r="K155" t="str">
        <f>TEXT(Sales_Data[[#This Row],[Order Date]],"yyyy")</f>
        <v>2026</v>
      </c>
      <c r="L155" t="str">
        <f>TEXT(Sales_Data[[#This Row],[Order Date]],"mmmm")</f>
        <v>September</v>
      </c>
      <c r="M155" s="1">
        <v>46285</v>
      </c>
      <c r="N155" s="1">
        <v>28047</v>
      </c>
      <c r="O155">
        <f>DATEDIF(Sales_Data[[#This Row],[Date of Birth]],Sales_Data[[#This Row],[Order Date]],"y")</f>
        <v>49</v>
      </c>
      <c r="P155" t="str" cm="1">
        <f t="array" ref="P155">_xlfn.IFS(Sales_Data[[#This Row],[Age ]]&lt;=30,"Young Adult",Sales_Data[[#This Row],[Age ]]&lt;=45,"Senior",Sales_Data[[#This Row],[Age ]]&lt;=60,"Adult",Sales_Data[[#This Row],[Age ]]&gt;=61,"Elderly")</f>
        <v>Adult</v>
      </c>
    </row>
    <row r="156" spans="1:16" x14ac:dyDescent="0.3">
      <c r="A156" t="s">
        <v>205</v>
      </c>
      <c r="B156" t="s">
        <v>18</v>
      </c>
      <c r="C156" t="s">
        <v>26</v>
      </c>
      <c r="D156" t="s">
        <v>20</v>
      </c>
      <c r="E156" t="s">
        <v>104</v>
      </c>
      <c r="F156">
        <v>50</v>
      </c>
      <c r="G156" s="2">
        <v>772</v>
      </c>
      <c r="H156" s="2">
        <v>38600</v>
      </c>
      <c r="I156" t="s">
        <v>15</v>
      </c>
      <c r="J156" t="s">
        <v>34</v>
      </c>
      <c r="K156" t="str">
        <f>TEXT(Sales_Data[[#This Row],[Order Date]],"yyyy")</f>
        <v>2026</v>
      </c>
      <c r="L156" t="str">
        <f>TEXT(Sales_Data[[#This Row],[Order Date]],"mmmm")</f>
        <v>November</v>
      </c>
      <c r="M156" s="1">
        <v>46346</v>
      </c>
      <c r="N156" s="1">
        <v>35982</v>
      </c>
      <c r="O156">
        <f>DATEDIF(Sales_Data[[#This Row],[Date of Birth]],Sales_Data[[#This Row],[Order Date]],"y")</f>
        <v>28</v>
      </c>
      <c r="P156" t="str" cm="1">
        <f t="array" ref="P156">_xlfn.IFS(Sales_Data[[#This Row],[Age ]]&lt;=30,"Young Adult",Sales_Data[[#This Row],[Age ]]&lt;=45,"Senior",Sales_Data[[#This Row],[Age ]]&lt;=60,"Adult",Sales_Data[[#This Row],[Age ]]&gt;=61,"Elderly")</f>
        <v>Young Adult</v>
      </c>
    </row>
    <row r="157" spans="1:16" x14ac:dyDescent="0.3">
      <c r="A157" t="s">
        <v>206</v>
      </c>
      <c r="B157" t="s">
        <v>11</v>
      </c>
      <c r="C157" t="s">
        <v>26</v>
      </c>
      <c r="D157" t="s">
        <v>13</v>
      </c>
      <c r="E157" t="s">
        <v>49</v>
      </c>
      <c r="F157">
        <v>44</v>
      </c>
      <c r="G157" s="2">
        <v>891</v>
      </c>
      <c r="H157" s="2">
        <v>39204</v>
      </c>
      <c r="I157" t="s">
        <v>15</v>
      </c>
      <c r="J157" t="s">
        <v>16</v>
      </c>
      <c r="K157" t="str">
        <f>TEXT(Sales_Data[[#This Row],[Order Date]],"yyyy")</f>
        <v>2026</v>
      </c>
      <c r="L157" t="str">
        <f>TEXT(Sales_Data[[#This Row],[Order Date]],"mmmm")</f>
        <v>May</v>
      </c>
      <c r="M157" s="1">
        <v>46151</v>
      </c>
      <c r="N157" s="1">
        <v>33320</v>
      </c>
      <c r="O157">
        <f>DATEDIF(Sales_Data[[#This Row],[Date of Birth]],Sales_Data[[#This Row],[Order Date]],"y")</f>
        <v>35</v>
      </c>
      <c r="P157" t="str" cm="1">
        <f t="array" ref="P157">_xlfn.IFS(Sales_Data[[#This Row],[Age ]]&lt;=30,"Young Adult",Sales_Data[[#This Row],[Age ]]&lt;=45,"Senior",Sales_Data[[#This Row],[Age ]]&lt;=60,"Adult",Sales_Data[[#This Row],[Age ]]&gt;=61,"Elderly")</f>
        <v>Senior</v>
      </c>
    </row>
    <row r="158" spans="1:16" x14ac:dyDescent="0.3">
      <c r="A158" t="s">
        <v>207</v>
      </c>
      <c r="B158" t="s">
        <v>25</v>
      </c>
      <c r="C158" t="s">
        <v>65</v>
      </c>
      <c r="D158" t="s">
        <v>30</v>
      </c>
      <c r="E158" t="s">
        <v>31</v>
      </c>
      <c r="F158">
        <v>20</v>
      </c>
      <c r="G158" s="2">
        <v>721</v>
      </c>
      <c r="H158" s="2">
        <v>14420</v>
      </c>
      <c r="I158" t="s">
        <v>15</v>
      </c>
      <c r="J158" t="s">
        <v>34</v>
      </c>
      <c r="K158" t="str">
        <f>TEXT(Sales_Data[[#This Row],[Order Date]],"yyyy")</f>
        <v>2026</v>
      </c>
      <c r="L158" t="str">
        <f>TEXT(Sales_Data[[#This Row],[Order Date]],"mmmm")</f>
        <v>December</v>
      </c>
      <c r="M158" s="1">
        <v>46378</v>
      </c>
      <c r="N158" s="1">
        <v>30762</v>
      </c>
      <c r="O158">
        <f>DATEDIF(Sales_Data[[#This Row],[Date of Birth]],Sales_Data[[#This Row],[Order Date]],"y")</f>
        <v>42</v>
      </c>
      <c r="P158" t="str" cm="1">
        <f t="array" ref="P158">_xlfn.IFS(Sales_Data[[#This Row],[Age ]]&lt;=30,"Young Adult",Sales_Data[[#This Row],[Age ]]&lt;=45,"Senior",Sales_Data[[#This Row],[Age ]]&lt;=60,"Adult",Sales_Data[[#This Row],[Age ]]&gt;=61,"Elderly")</f>
        <v>Senior</v>
      </c>
    </row>
    <row r="159" spans="1:16" x14ac:dyDescent="0.3">
      <c r="A159" t="s">
        <v>208</v>
      </c>
      <c r="B159" t="s">
        <v>18</v>
      </c>
      <c r="C159" t="s">
        <v>42</v>
      </c>
      <c r="D159" t="s">
        <v>20</v>
      </c>
      <c r="E159" t="s">
        <v>36</v>
      </c>
      <c r="F159">
        <v>9</v>
      </c>
      <c r="G159" s="2">
        <v>1452</v>
      </c>
      <c r="H159" s="2">
        <v>13068</v>
      </c>
      <c r="I159" t="s">
        <v>22</v>
      </c>
      <c r="J159" t="s">
        <v>23</v>
      </c>
      <c r="K159" t="str">
        <f>TEXT(Sales_Data[[#This Row],[Order Date]],"yyyy")</f>
        <v>2026</v>
      </c>
      <c r="L159" t="str">
        <f>TEXT(Sales_Data[[#This Row],[Order Date]],"mmmm")</f>
        <v>December</v>
      </c>
      <c r="M159" s="1">
        <v>46383</v>
      </c>
      <c r="N159" s="1">
        <v>38452</v>
      </c>
      <c r="O159">
        <f>DATEDIF(Sales_Data[[#This Row],[Date of Birth]],Sales_Data[[#This Row],[Order Date]],"y")</f>
        <v>21</v>
      </c>
      <c r="P159" t="str" cm="1">
        <f t="array" ref="P159">_xlfn.IFS(Sales_Data[[#This Row],[Age ]]&lt;=30,"Young Adult",Sales_Data[[#This Row],[Age ]]&lt;=45,"Senior",Sales_Data[[#This Row],[Age ]]&lt;=60,"Adult",Sales_Data[[#This Row],[Age ]]&gt;=61,"Elderly")</f>
        <v>Young Adult</v>
      </c>
    </row>
    <row r="160" spans="1:16" x14ac:dyDescent="0.3">
      <c r="A160" t="s">
        <v>209</v>
      </c>
      <c r="B160" t="s">
        <v>25</v>
      </c>
      <c r="C160" t="s">
        <v>19</v>
      </c>
      <c r="D160" t="s">
        <v>66</v>
      </c>
      <c r="E160" t="s">
        <v>77</v>
      </c>
      <c r="F160">
        <v>12</v>
      </c>
      <c r="G160" s="2">
        <v>15</v>
      </c>
      <c r="H160" s="2">
        <v>180</v>
      </c>
      <c r="I160" t="s">
        <v>15</v>
      </c>
      <c r="J160" t="s">
        <v>23</v>
      </c>
      <c r="K160" t="str">
        <f>TEXT(Sales_Data[[#This Row],[Order Date]],"yyyy")</f>
        <v>2026</v>
      </c>
      <c r="L160" t="str">
        <f>TEXT(Sales_Data[[#This Row],[Order Date]],"mmmm")</f>
        <v>June</v>
      </c>
      <c r="M160" s="1">
        <v>46198</v>
      </c>
      <c r="N160" s="1">
        <v>33303</v>
      </c>
      <c r="O160">
        <f>DATEDIF(Sales_Data[[#This Row],[Date of Birth]],Sales_Data[[#This Row],[Order Date]],"y")</f>
        <v>35</v>
      </c>
      <c r="P160" t="str" cm="1">
        <f t="array" ref="P160">_xlfn.IFS(Sales_Data[[#This Row],[Age ]]&lt;=30,"Young Adult",Sales_Data[[#This Row],[Age ]]&lt;=45,"Senior",Sales_Data[[#This Row],[Age ]]&lt;=60,"Adult",Sales_Data[[#This Row],[Age ]]&gt;=61,"Elderly")</f>
        <v>Senior</v>
      </c>
    </row>
    <row r="161" spans="1:16" x14ac:dyDescent="0.3">
      <c r="A161" t="s">
        <v>210</v>
      </c>
      <c r="B161" t="s">
        <v>18</v>
      </c>
      <c r="C161" t="s">
        <v>26</v>
      </c>
      <c r="D161" t="s">
        <v>30</v>
      </c>
      <c r="E161" t="s">
        <v>57</v>
      </c>
      <c r="F161">
        <v>19</v>
      </c>
      <c r="G161" s="2">
        <v>153</v>
      </c>
      <c r="H161" s="2">
        <v>2907</v>
      </c>
      <c r="I161" t="s">
        <v>15</v>
      </c>
      <c r="J161" t="s">
        <v>16</v>
      </c>
      <c r="K161" t="str">
        <f>TEXT(Sales_Data[[#This Row],[Order Date]],"yyyy")</f>
        <v>2026</v>
      </c>
      <c r="L161" t="str">
        <f>TEXT(Sales_Data[[#This Row],[Order Date]],"mmmm")</f>
        <v>September</v>
      </c>
      <c r="M161" s="1">
        <v>46290</v>
      </c>
      <c r="N161" s="1">
        <v>30286</v>
      </c>
      <c r="O161">
        <f>DATEDIF(Sales_Data[[#This Row],[Date of Birth]],Sales_Data[[#This Row],[Order Date]],"y")</f>
        <v>43</v>
      </c>
      <c r="P161" t="str" cm="1">
        <f t="array" ref="P161">_xlfn.IFS(Sales_Data[[#This Row],[Age ]]&lt;=30,"Young Adult",Sales_Data[[#This Row],[Age ]]&lt;=45,"Senior",Sales_Data[[#This Row],[Age ]]&lt;=60,"Adult",Sales_Data[[#This Row],[Age ]]&gt;=61,"Elderly")</f>
        <v>Senior</v>
      </c>
    </row>
    <row r="162" spans="1:16" x14ac:dyDescent="0.3">
      <c r="A162" t="s">
        <v>211</v>
      </c>
      <c r="B162" t="s">
        <v>11</v>
      </c>
      <c r="C162" t="s">
        <v>55</v>
      </c>
      <c r="D162" t="s">
        <v>20</v>
      </c>
      <c r="E162" t="s">
        <v>43</v>
      </c>
      <c r="F162">
        <v>11</v>
      </c>
      <c r="G162" s="2">
        <v>450</v>
      </c>
      <c r="H162" s="2">
        <v>4950</v>
      </c>
      <c r="I162" t="s">
        <v>15</v>
      </c>
      <c r="J162" t="s">
        <v>34</v>
      </c>
      <c r="K162" t="str">
        <f>TEXT(Sales_Data[[#This Row],[Order Date]],"yyyy")</f>
        <v>2026</v>
      </c>
      <c r="L162" t="str">
        <f>TEXT(Sales_Data[[#This Row],[Order Date]],"mmmm")</f>
        <v>December</v>
      </c>
      <c r="M162" s="1">
        <v>46381</v>
      </c>
      <c r="N162" s="1">
        <v>29673</v>
      </c>
      <c r="O162">
        <f>DATEDIF(Sales_Data[[#This Row],[Date of Birth]],Sales_Data[[#This Row],[Order Date]],"y")</f>
        <v>45</v>
      </c>
      <c r="P162" t="str" cm="1">
        <f t="array" ref="P162">_xlfn.IFS(Sales_Data[[#This Row],[Age ]]&lt;=30,"Young Adult",Sales_Data[[#This Row],[Age ]]&lt;=45,"Senior",Sales_Data[[#This Row],[Age ]]&lt;=60,"Adult",Sales_Data[[#This Row],[Age ]]&gt;=61,"Elderly")</f>
        <v>Senior</v>
      </c>
    </row>
    <row r="163" spans="1:16" x14ac:dyDescent="0.3">
      <c r="A163" t="s">
        <v>212</v>
      </c>
      <c r="B163" t="s">
        <v>25</v>
      </c>
      <c r="C163" t="s">
        <v>19</v>
      </c>
      <c r="D163" t="s">
        <v>66</v>
      </c>
      <c r="E163" t="s">
        <v>83</v>
      </c>
      <c r="F163">
        <v>29</v>
      </c>
      <c r="G163" s="2">
        <v>41</v>
      </c>
      <c r="H163" s="2">
        <v>1189</v>
      </c>
      <c r="I163" t="s">
        <v>15</v>
      </c>
      <c r="J163" t="s">
        <v>34</v>
      </c>
      <c r="K163" t="str">
        <f>TEXT(Sales_Data[[#This Row],[Order Date]],"yyyy")</f>
        <v>2026</v>
      </c>
      <c r="L163" t="str">
        <f>TEXT(Sales_Data[[#This Row],[Order Date]],"mmmm")</f>
        <v>May</v>
      </c>
      <c r="M163" s="1">
        <v>46167</v>
      </c>
      <c r="N163" s="1">
        <v>27336</v>
      </c>
      <c r="O163">
        <f>DATEDIF(Sales_Data[[#This Row],[Date of Birth]],Sales_Data[[#This Row],[Order Date]],"y")</f>
        <v>51</v>
      </c>
      <c r="P163" t="str" cm="1">
        <f t="array" ref="P163">_xlfn.IFS(Sales_Data[[#This Row],[Age ]]&lt;=30,"Young Adult",Sales_Data[[#This Row],[Age ]]&lt;=45,"Senior",Sales_Data[[#This Row],[Age ]]&lt;=60,"Adult",Sales_Data[[#This Row],[Age ]]&gt;=61,"Elderly")</f>
        <v>Adult</v>
      </c>
    </row>
    <row r="164" spans="1:16" x14ac:dyDescent="0.3">
      <c r="A164" t="s">
        <v>213</v>
      </c>
      <c r="B164" t="s">
        <v>25</v>
      </c>
      <c r="C164" t="s">
        <v>46</v>
      </c>
      <c r="D164" t="s">
        <v>20</v>
      </c>
      <c r="E164" t="s">
        <v>43</v>
      </c>
      <c r="F164">
        <v>24</v>
      </c>
      <c r="G164" s="2">
        <v>1469</v>
      </c>
      <c r="H164" s="2">
        <v>35256</v>
      </c>
      <c r="I164" t="s">
        <v>22</v>
      </c>
      <c r="J164" t="s">
        <v>16</v>
      </c>
      <c r="K164" t="str">
        <f>TEXT(Sales_Data[[#This Row],[Order Date]],"yyyy")</f>
        <v>2026</v>
      </c>
      <c r="L164" t="str">
        <f>TEXT(Sales_Data[[#This Row],[Order Date]],"mmmm")</f>
        <v>October</v>
      </c>
      <c r="M164" s="1">
        <v>46310</v>
      </c>
      <c r="N164" s="1">
        <v>26009</v>
      </c>
      <c r="O164">
        <f>DATEDIF(Sales_Data[[#This Row],[Date of Birth]],Sales_Data[[#This Row],[Order Date]],"y")</f>
        <v>55</v>
      </c>
      <c r="P164" t="str" cm="1">
        <f t="array" ref="P164">_xlfn.IFS(Sales_Data[[#This Row],[Age ]]&lt;=30,"Young Adult",Sales_Data[[#This Row],[Age ]]&lt;=45,"Senior",Sales_Data[[#This Row],[Age ]]&lt;=60,"Adult",Sales_Data[[#This Row],[Age ]]&gt;=61,"Elderly")</f>
        <v>Adult</v>
      </c>
    </row>
    <row r="165" spans="1:16" x14ac:dyDescent="0.3">
      <c r="A165" t="s">
        <v>214</v>
      </c>
      <c r="B165" t="s">
        <v>29</v>
      </c>
      <c r="C165" t="s">
        <v>69</v>
      </c>
      <c r="D165" t="s">
        <v>20</v>
      </c>
      <c r="E165" t="s">
        <v>43</v>
      </c>
      <c r="F165">
        <v>13</v>
      </c>
      <c r="G165" s="2">
        <v>1318</v>
      </c>
      <c r="H165" s="2">
        <v>17134</v>
      </c>
      <c r="I165" t="s">
        <v>22</v>
      </c>
      <c r="J165" t="s">
        <v>34</v>
      </c>
      <c r="K165" t="str">
        <f>TEXT(Sales_Data[[#This Row],[Order Date]],"yyyy")</f>
        <v>2026</v>
      </c>
      <c r="L165" t="str">
        <f>TEXT(Sales_Data[[#This Row],[Order Date]],"mmmm")</f>
        <v>March</v>
      </c>
      <c r="M165" s="1">
        <v>46109</v>
      </c>
      <c r="N165" s="1">
        <v>32091</v>
      </c>
      <c r="O165">
        <f>DATEDIF(Sales_Data[[#This Row],[Date of Birth]],Sales_Data[[#This Row],[Order Date]],"y")</f>
        <v>38</v>
      </c>
      <c r="P165" t="str" cm="1">
        <f t="array" ref="P165">_xlfn.IFS(Sales_Data[[#This Row],[Age ]]&lt;=30,"Young Adult",Sales_Data[[#This Row],[Age ]]&lt;=45,"Senior",Sales_Data[[#This Row],[Age ]]&lt;=60,"Adult",Sales_Data[[#This Row],[Age ]]&gt;=61,"Elderly")</f>
        <v>Senior</v>
      </c>
    </row>
    <row r="166" spans="1:16" x14ac:dyDescent="0.3">
      <c r="A166" t="s">
        <v>215</v>
      </c>
      <c r="B166" t="s">
        <v>11</v>
      </c>
      <c r="C166" t="s">
        <v>46</v>
      </c>
      <c r="D166" t="s">
        <v>13</v>
      </c>
      <c r="E166" t="s">
        <v>49</v>
      </c>
      <c r="F166">
        <v>8</v>
      </c>
      <c r="G166" s="2">
        <v>683</v>
      </c>
      <c r="H166" s="2">
        <v>5464</v>
      </c>
      <c r="I166" t="s">
        <v>22</v>
      </c>
      <c r="J166" t="s">
        <v>16</v>
      </c>
      <c r="K166" t="str">
        <f>TEXT(Sales_Data[[#This Row],[Order Date]],"yyyy")</f>
        <v>2026</v>
      </c>
      <c r="L166" t="str">
        <f>TEXT(Sales_Data[[#This Row],[Order Date]],"mmmm")</f>
        <v>February</v>
      </c>
      <c r="M166" s="1">
        <v>46078</v>
      </c>
      <c r="N166" s="1">
        <v>31828</v>
      </c>
      <c r="O166">
        <f>DATEDIF(Sales_Data[[#This Row],[Date of Birth]],Sales_Data[[#This Row],[Order Date]],"y")</f>
        <v>39</v>
      </c>
      <c r="P166" t="str" cm="1">
        <f t="array" ref="P166">_xlfn.IFS(Sales_Data[[#This Row],[Age ]]&lt;=30,"Young Adult",Sales_Data[[#This Row],[Age ]]&lt;=45,"Senior",Sales_Data[[#This Row],[Age ]]&lt;=60,"Adult",Sales_Data[[#This Row],[Age ]]&gt;=61,"Elderly")</f>
        <v>Senior</v>
      </c>
    </row>
    <row r="167" spans="1:16" x14ac:dyDescent="0.3">
      <c r="A167" t="s">
        <v>216</v>
      </c>
      <c r="B167" t="s">
        <v>18</v>
      </c>
      <c r="C167" t="s">
        <v>42</v>
      </c>
      <c r="D167" t="s">
        <v>30</v>
      </c>
      <c r="E167" t="s">
        <v>47</v>
      </c>
      <c r="F167">
        <v>6</v>
      </c>
      <c r="G167" s="2">
        <v>277</v>
      </c>
      <c r="H167" s="2">
        <v>1662</v>
      </c>
      <c r="I167" t="s">
        <v>15</v>
      </c>
      <c r="J167" t="s">
        <v>34</v>
      </c>
      <c r="K167" t="str">
        <f>TEXT(Sales_Data[[#This Row],[Order Date]],"yyyy")</f>
        <v>2026</v>
      </c>
      <c r="L167" t="str">
        <f>TEXT(Sales_Data[[#This Row],[Order Date]],"mmmm")</f>
        <v>August</v>
      </c>
      <c r="M167" s="1">
        <v>46246</v>
      </c>
      <c r="N167" s="1">
        <v>25232</v>
      </c>
      <c r="O167">
        <f>DATEDIF(Sales_Data[[#This Row],[Date of Birth]],Sales_Data[[#This Row],[Order Date]],"y")</f>
        <v>57</v>
      </c>
      <c r="P167" t="str" cm="1">
        <f t="array" ref="P167">_xlfn.IFS(Sales_Data[[#This Row],[Age ]]&lt;=30,"Young Adult",Sales_Data[[#This Row],[Age ]]&lt;=45,"Senior",Sales_Data[[#This Row],[Age ]]&lt;=60,"Adult",Sales_Data[[#This Row],[Age ]]&gt;=61,"Elderly")</f>
        <v>Adult</v>
      </c>
    </row>
    <row r="168" spans="1:16" x14ac:dyDescent="0.3">
      <c r="A168" t="s">
        <v>217</v>
      </c>
      <c r="B168" t="s">
        <v>18</v>
      </c>
      <c r="C168" t="s">
        <v>26</v>
      </c>
      <c r="D168" t="s">
        <v>66</v>
      </c>
      <c r="E168" t="s">
        <v>83</v>
      </c>
      <c r="F168">
        <v>25</v>
      </c>
      <c r="G168" s="2">
        <v>7</v>
      </c>
      <c r="H168" s="2">
        <v>175</v>
      </c>
      <c r="I168" t="s">
        <v>15</v>
      </c>
      <c r="J168" t="s">
        <v>16</v>
      </c>
      <c r="K168" t="str">
        <f>TEXT(Sales_Data[[#This Row],[Order Date]],"yyyy")</f>
        <v>2026</v>
      </c>
      <c r="L168" t="str">
        <f>TEXT(Sales_Data[[#This Row],[Order Date]],"mmmm")</f>
        <v>June</v>
      </c>
      <c r="M168" s="1">
        <v>46181</v>
      </c>
      <c r="N168" s="1">
        <v>36125</v>
      </c>
      <c r="O168">
        <f>DATEDIF(Sales_Data[[#This Row],[Date of Birth]],Sales_Data[[#This Row],[Order Date]],"y")</f>
        <v>27</v>
      </c>
      <c r="P168" t="str" cm="1">
        <f t="array" ref="P168">_xlfn.IFS(Sales_Data[[#This Row],[Age ]]&lt;=30,"Young Adult",Sales_Data[[#This Row],[Age ]]&lt;=45,"Senior",Sales_Data[[#This Row],[Age ]]&lt;=60,"Adult",Sales_Data[[#This Row],[Age ]]&gt;=61,"Elderly")</f>
        <v>Young Adult</v>
      </c>
    </row>
    <row r="169" spans="1:16" x14ac:dyDescent="0.3">
      <c r="A169" t="s">
        <v>218</v>
      </c>
      <c r="B169" t="s">
        <v>25</v>
      </c>
      <c r="C169" t="s">
        <v>65</v>
      </c>
      <c r="D169" t="s">
        <v>66</v>
      </c>
      <c r="E169" t="s">
        <v>83</v>
      </c>
      <c r="F169">
        <v>9</v>
      </c>
      <c r="G169" s="2">
        <v>4</v>
      </c>
      <c r="H169" s="2">
        <v>36</v>
      </c>
      <c r="I169" t="s">
        <v>22</v>
      </c>
      <c r="J169" t="s">
        <v>34</v>
      </c>
      <c r="K169" t="str">
        <f>TEXT(Sales_Data[[#This Row],[Order Date]],"yyyy")</f>
        <v>2026</v>
      </c>
      <c r="L169" t="str">
        <f>TEXT(Sales_Data[[#This Row],[Order Date]],"mmmm")</f>
        <v>May</v>
      </c>
      <c r="M169" s="1">
        <v>46169</v>
      </c>
      <c r="N169" s="1">
        <v>24514</v>
      </c>
      <c r="O169">
        <f>DATEDIF(Sales_Data[[#This Row],[Date of Birth]],Sales_Data[[#This Row],[Order Date]],"y")</f>
        <v>59</v>
      </c>
      <c r="P169" t="str" cm="1">
        <f t="array" ref="P169">_xlfn.IFS(Sales_Data[[#This Row],[Age ]]&lt;=30,"Young Adult",Sales_Data[[#This Row],[Age ]]&lt;=45,"Senior",Sales_Data[[#This Row],[Age ]]&lt;=60,"Adult",Sales_Data[[#This Row],[Age ]]&gt;=61,"Elderly")</f>
        <v>Adult</v>
      </c>
    </row>
    <row r="170" spans="1:16" x14ac:dyDescent="0.3">
      <c r="A170" t="s">
        <v>219</v>
      </c>
      <c r="B170" t="s">
        <v>11</v>
      </c>
      <c r="C170" t="s">
        <v>42</v>
      </c>
      <c r="D170" t="s">
        <v>13</v>
      </c>
      <c r="E170" t="s">
        <v>14</v>
      </c>
      <c r="F170">
        <v>2</v>
      </c>
      <c r="G170" s="2">
        <v>624</v>
      </c>
      <c r="H170" s="2">
        <v>1248</v>
      </c>
      <c r="I170" t="s">
        <v>15</v>
      </c>
      <c r="J170" t="s">
        <v>34</v>
      </c>
      <c r="K170" t="str">
        <f>TEXT(Sales_Data[[#This Row],[Order Date]],"yyyy")</f>
        <v>2026</v>
      </c>
      <c r="L170" t="str">
        <f>TEXT(Sales_Data[[#This Row],[Order Date]],"mmmm")</f>
        <v>April</v>
      </c>
      <c r="M170" s="1">
        <v>46139</v>
      </c>
      <c r="N170" s="1">
        <v>37851</v>
      </c>
      <c r="O170">
        <f>DATEDIF(Sales_Data[[#This Row],[Date of Birth]],Sales_Data[[#This Row],[Order Date]],"y")</f>
        <v>22</v>
      </c>
      <c r="P170" t="str" cm="1">
        <f t="array" ref="P170">_xlfn.IFS(Sales_Data[[#This Row],[Age ]]&lt;=30,"Young Adult",Sales_Data[[#This Row],[Age ]]&lt;=45,"Senior",Sales_Data[[#This Row],[Age ]]&lt;=60,"Adult",Sales_Data[[#This Row],[Age ]]&gt;=61,"Elderly")</f>
        <v>Young Adult</v>
      </c>
    </row>
    <row r="171" spans="1:16" x14ac:dyDescent="0.3">
      <c r="A171" t="s">
        <v>220</v>
      </c>
      <c r="B171" t="s">
        <v>25</v>
      </c>
      <c r="C171" t="s">
        <v>12</v>
      </c>
      <c r="D171" t="s">
        <v>30</v>
      </c>
      <c r="E171" t="s">
        <v>31</v>
      </c>
      <c r="F171">
        <v>8</v>
      </c>
      <c r="G171" s="2">
        <v>98</v>
      </c>
      <c r="H171" s="2">
        <v>784</v>
      </c>
      <c r="I171" t="s">
        <v>15</v>
      </c>
      <c r="J171" t="s">
        <v>34</v>
      </c>
      <c r="K171" t="str">
        <f>TEXT(Sales_Data[[#This Row],[Order Date]],"yyyy")</f>
        <v>2026</v>
      </c>
      <c r="L171" t="str">
        <f>TEXT(Sales_Data[[#This Row],[Order Date]],"mmmm")</f>
        <v>April</v>
      </c>
      <c r="M171" s="1">
        <v>46126</v>
      </c>
      <c r="N171" s="1">
        <v>25539</v>
      </c>
      <c r="O171">
        <f>DATEDIF(Sales_Data[[#This Row],[Date of Birth]],Sales_Data[[#This Row],[Order Date]],"y")</f>
        <v>56</v>
      </c>
      <c r="P171" t="str" cm="1">
        <f t="array" ref="P171">_xlfn.IFS(Sales_Data[[#This Row],[Age ]]&lt;=30,"Young Adult",Sales_Data[[#This Row],[Age ]]&lt;=45,"Senior",Sales_Data[[#This Row],[Age ]]&lt;=60,"Adult",Sales_Data[[#This Row],[Age ]]&gt;=61,"Elderly")</f>
        <v>Adult</v>
      </c>
    </row>
    <row r="172" spans="1:16" x14ac:dyDescent="0.3">
      <c r="A172" t="s">
        <v>221</v>
      </c>
      <c r="B172" t="s">
        <v>29</v>
      </c>
      <c r="C172" t="s">
        <v>42</v>
      </c>
      <c r="D172" t="s">
        <v>13</v>
      </c>
      <c r="E172" t="s">
        <v>49</v>
      </c>
      <c r="F172">
        <v>37</v>
      </c>
      <c r="G172" s="2">
        <v>595</v>
      </c>
      <c r="H172" s="2">
        <v>22015</v>
      </c>
      <c r="I172" t="s">
        <v>15</v>
      </c>
      <c r="J172" t="s">
        <v>16</v>
      </c>
      <c r="K172" t="str">
        <f>TEXT(Sales_Data[[#This Row],[Order Date]],"yyyy")</f>
        <v>2026</v>
      </c>
      <c r="L172" t="str">
        <f>TEXT(Sales_Data[[#This Row],[Order Date]],"mmmm")</f>
        <v>December</v>
      </c>
      <c r="M172" s="1">
        <v>46361</v>
      </c>
      <c r="N172" s="1">
        <v>26247</v>
      </c>
      <c r="O172">
        <f>DATEDIF(Sales_Data[[#This Row],[Date of Birth]],Sales_Data[[#This Row],[Order Date]],"y")</f>
        <v>55</v>
      </c>
      <c r="P172" t="str" cm="1">
        <f t="array" ref="P172">_xlfn.IFS(Sales_Data[[#This Row],[Age ]]&lt;=30,"Young Adult",Sales_Data[[#This Row],[Age ]]&lt;=45,"Senior",Sales_Data[[#This Row],[Age ]]&lt;=60,"Adult",Sales_Data[[#This Row],[Age ]]&gt;=61,"Elderly")</f>
        <v>Adult</v>
      </c>
    </row>
    <row r="173" spans="1:16" x14ac:dyDescent="0.3">
      <c r="A173" t="s">
        <v>222</v>
      </c>
      <c r="B173" t="s">
        <v>18</v>
      </c>
      <c r="C173" t="s">
        <v>26</v>
      </c>
      <c r="D173" t="s">
        <v>66</v>
      </c>
      <c r="E173" t="s">
        <v>83</v>
      </c>
      <c r="F173">
        <v>37</v>
      </c>
      <c r="G173" s="2">
        <v>28</v>
      </c>
      <c r="H173" s="2">
        <v>1036</v>
      </c>
      <c r="I173" t="s">
        <v>15</v>
      </c>
      <c r="J173" t="s">
        <v>16</v>
      </c>
      <c r="K173" t="str">
        <f>TEXT(Sales_Data[[#This Row],[Order Date]],"yyyy")</f>
        <v>2026</v>
      </c>
      <c r="L173" t="str">
        <f>TEXT(Sales_Data[[#This Row],[Order Date]],"mmmm")</f>
        <v>March</v>
      </c>
      <c r="M173" s="1">
        <v>46103</v>
      </c>
      <c r="N173" s="1">
        <v>34023</v>
      </c>
      <c r="O173">
        <f>DATEDIF(Sales_Data[[#This Row],[Date of Birth]],Sales_Data[[#This Row],[Order Date]],"y")</f>
        <v>33</v>
      </c>
      <c r="P173" t="str" cm="1">
        <f t="array" ref="P173">_xlfn.IFS(Sales_Data[[#This Row],[Age ]]&lt;=30,"Young Adult",Sales_Data[[#This Row],[Age ]]&lt;=45,"Senior",Sales_Data[[#This Row],[Age ]]&lt;=60,"Adult",Sales_Data[[#This Row],[Age ]]&gt;=61,"Elderly")</f>
        <v>Senior</v>
      </c>
    </row>
    <row r="174" spans="1:16" x14ac:dyDescent="0.3">
      <c r="A174" t="s">
        <v>223</v>
      </c>
      <c r="B174" t="s">
        <v>29</v>
      </c>
      <c r="C174" t="s">
        <v>46</v>
      </c>
      <c r="D174" t="s">
        <v>13</v>
      </c>
      <c r="E174" t="s">
        <v>63</v>
      </c>
      <c r="F174">
        <v>31</v>
      </c>
      <c r="G174" s="2">
        <v>189</v>
      </c>
      <c r="H174" s="2">
        <v>5859</v>
      </c>
      <c r="I174" t="s">
        <v>15</v>
      </c>
      <c r="J174" t="s">
        <v>34</v>
      </c>
      <c r="K174" t="str">
        <f>TEXT(Sales_Data[[#This Row],[Order Date]],"yyyy")</f>
        <v>2026</v>
      </c>
      <c r="L174" t="str">
        <f>TEXT(Sales_Data[[#This Row],[Order Date]],"mmmm")</f>
        <v>November</v>
      </c>
      <c r="M174" s="1">
        <v>46339</v>
      </c>
      <c r="N174" s="1">
        <v>26364</v>
      </c>
      <c r="O174">
        <f>DATEDIF(Sales_Data[[#This Row],[Date of Birth]],Sales_Data[[#This Row],[Order Date]],"y")</f>
        <v>54</v>
      </c>
      <c r="P174" t="str" cm="1">
        <f t="array" ref="P174">_xlfn.IFS(Sales_Data[[#This Row],[Age ]]&lt;=30,"Young Adult",Sales_Data[[#This Row],[Age ]]&lt;=45,"Senior",Sales_Data[[#This Row],[Age ]]&lt;=60,"Adult",Sales_Data[[#This Row],[Age ]]&gt;=61,"Elderly")</f>
        <v>Adult</v>
      </c>
    </row>
    <row r="175" spans="1:16" x14ac:dyDescent="0.3">
      <c r="A175" t="s">
        <v>224</v>
      </c>
      <c r="B175" t="s">
        <v>29</v>
      </c>
      <c r="C175" t="s">
        <v>65</v>
      </c>
      <c r="D175" t="s">
        <v>13</v>
      </c>
      <c r="E175" t="s">
        <v>40</v>
      </c>
      <c r="F175">
        <v>16</v>
      </c>
      <c r="G175" s="2">
        <v>312</v>
      </c>
      <c r="H175" s="2">
        <v>4992</v>
      </c>
      <c r="I175" t="s">
        <v>15</v>
      </c>
      <c r="J175" t="s">
        <v>34</v>
      </c>
      <c r="K175" t="str">
        <f>TEXT(Sales_Data[[#This Row],[Order Date]],"yyyy")</f>
        <v>2026</v>
      </c>
      <c r="L175" t="str">
        <f>TEXT(Sales_Data[[#This Row],[Order Date]],"mmmm")</f>
        <v>October</v>
      </c>
      <c r="M175" s="1">
        <v>46319</v>
      </c>
      <c r="N175" s="1">
        <v>36720</v>
      </c>
      <c r="O175">
        <f>DATEDIF(Sales_Data[[#This Row],[Date of Birth]],Sales_Data[[#This Row],[Order Date]],"y")</f>
        <v>26</v>
      </c>
      <c r="P175" t="str" cm="1">
        <f t="array" ref="P175">_xlfn.IFS(Sales_Data[[#This Row],[Age ]]&lt;=30,"Young Adult",Sales_Data[[#This Row],[Age ]]&lt;=45,"Senior",Sales_Data[[#This Row],[Age ]]&lt;=60,"Adult",Sales_Data[[#This Row],[Age ]]&gt;=61,"Elderly")</f>
        <v>Young Adult</v>
      </c>
    </row>
    <row r="176" spans="1:16" x14ac:dyDescent="0.3">
      <c r="A176" t="s">
        <v>225</v>
      </c>
      <c r="B176" t="s">
        <v>25</v>
      </c>
      <c r="C176" t="s">
        <v>65</v>
      </c>
      <c r="D176" t="s">
        <v>66</v>
      </c>
      <c r="E176" t="s">
        <v>83</v>
      </c>
      <c r="F176">
        <v>50</v>
      </c>
      <c r="G176" s="2">
        <v>45</v>
      </c>
      <c r="H176" s="2">
        <v>2250</v>
      </c>
      <c r="I176" t="s">
        <v>15</v>
      </c>
      <c r="J176" t="s">
        <v>23</v>
      </c>
      <c r="K176" t="str">
        <f>TEXT(Sales_Data[[#This Row],[Order Date]],"yyyy")</f>
        <v>2026</v>
      </c>
      <c r="L176" t="str">
        <f>TEXT(Sales_Data[[#This Row],[Order Date]],"mmmm")</f>
        <v>August</v>
      </c>
      <c r="M176" s="1">
        <v>46257</v>
      </c>
      <c r="N176" s="1">
        <v>34892</v>
      </c>
      <c r="O176">
        <f>DATEDIF(Sales_Data[[#This Row],[Date of Birth]],Sales_Data[[#This Row],[Order Date]],"y")</f>
        <v>31</v>
      </c>
      <c r="P176" t="str" cm="1">
        <f t="array" ref="P176">_xlfn.IFS(Sales_Data[[#This Row],[Age ]]&lt;=30,"Young Adult",Sales_Data[[#This Row],[Age ]]&lt;=45,"Senior",Sales_Data[[#This Row],[Age ]]&lt;=60,"Adult",Sales_Data[[#This Row],[Age ]]&gt;=61,"Elderly")</f>
        <v>Senior</v>
      </c>
    </row>
    <row r="177" spans="1:16" x14ac:dyDescent="0.3">
      <c r="A177" t="s">
        <v>226</v>
      </c>
      <c r="B177" t="s">
        <v>11</v>
      </c>
      <c r="C177" t="s">
        <v>69</v>
      </c>
      <c r="D177" t="s">
        <v>20</v>
      </c>
      <c r="E177" t="s">
        <v>21</v>
      </c>
      <c r="F177">
        <v>19</v>
      </c>
      <c r="G177" s="2">
        <v>492</v>
      </c>
      <c r="H177" s="2">
        <v>9348</v>
      </c>
      <c r="I177" t="s">
        <v>22</v>
      </c>
      <c r="J177" t="s">
        <v>34</v>
      </c>
      <c r="K177" t="str">
        <f>TEXT(Sales_Data[[#This Row],[Order Date]],"yyyy")</f>
        <v>2026</v>
      </c>
      <c r="L177" t="str">
        <f>TEXT(Sales_Data[[#This Row],[Order Date]],"mmmm")</f>
        <v>January</v>
      </c>
      <c r="M177" s="1">
        <v>46048</v>
      </c>
      <c r="N177" s="1">
        <v>30659</v>
      </c>
      <c r="O177">
        <f>DATEDIF(Sales_Data[[#This Row],[Date of Birth]],Sales_Data[[#This Row],[Order Date]],"y")</f>
        <v>42</v>
      </c>
      <c r="P177" t="str" cm="1">
        <f t="array" ref="P177">_xlfn.IFS(Sales_Data[[#This Row],[Age ]]&lt;=30,"Young Adult",Sales_Data[[#This Row],[Age ]]&lt;=45,"Senior",Sales_Data[[#This Row],[Age ]]&lt;=60,"Adult",Sales_Data[[#This Row],[Age ]]&gt;=61,"Elderly")</f>
        <v>Senior</v>
      </c>
    </row>
    <row r="178" spans="1:16" x14ac:dyDescent="0.3">
      <c r="A178" t="s">
        <v>227</v>
      </c>
      <c r="B178" t="s">
        <v>11</v>
      </c>
      <c r="C178" t="s">
        <v>46</v>
      </c>
      <c r="D178" t="s">
        <v>20</v>
      </c>
      <c r="E178" t="s">
        <v>27</v>
      </c>
      <c r="F178">
        <v>31</v>
      </c>
      <c r="G178" s="2">
        <v>598</v>
      </c>
      <c r="H178" s="2">
        <v>18538</v>
      </c>
      <c r="I178" t="s">
        <v>22</v>
      </c>
      <c r="J178" t="s">
        <v>23</v>
      </c>
      <c r="K178" t="str">
        <f>TEXT(Sales_Data[[#This Row],[Order Date]],"yyyy")</f>
        <v>2026</v>
      </c>
      <c r="L178" t="str">
        <f>TEXT(Sales_Data[[#This Row],[Order Date]],"mmmm")</f>
        <v>January</v>
      </c>
      <c r="M178" s="1">
        <v>46047</v>
      </c>
      <c r="N178" s="1">
        <v>33514</v>
      </c>
      <c r="O178">
        <f>DATEDIF(Sales_Data[[#This Row],[Date of Birth]],Sales_Data[[#This Row],[Order Date]],"y")</f>
        <v>34</v>
      </c>
      <c r="P178" t="str" cm="1">
        <f t="array" ref="P178">_xlfn.IFS(Sales_Data[[#This Row],[Age ]]&lt;=30,"Young Adult",Sales_Data[[#This Row],[Age ]]&lt;=45,"Senior",Sales_Data[[#This Row],[Age ]]&lt;=60,"Adult",Sales_Data[[#This Row],[Age ]]&gt;=61,"Elderly")</f>
        <v>Senior</v>
      </c>
    </row>
    <row r="179" spans="1:16" x14ac:dyDescent="0.3">
      <c r="A179" t="s">
        <v>228</v>
      </c>
      <c r="B179" t="s">
        <v>25</v>
      </c>
      <c r="C179" t="s">
        <v>42</v>
      </c>
      <c r="D179" t="s">
        <v>66</v>
      </c>
      <c r="E179" t="s">
        <v>77</v>
      </c>
      <c r="F179">
        <v>8</v>
      </c>
      <c r="G179" s="2">
        <v>25</v>
      </c>
      <c r="H179" s="2">
        <v>200</v>
      </c>
      <c r="I179" t="s">
        <v>22</v>
      </c>
      <c r="J179" t="s">
        <v>23</v>
      </c>
      <c r="K179" t="str">
        <f>TEXT(Sales_Data[[#This Row],[Order Date]],"yyyy")</f>
        <v>2026</v>
      </c>
      <c r="L179" t="str">
        <f>TEXT(Sales_Data[[#This Row],[Order Date]],"mmmm")</f>
        <v>July</v>
      </c>
      <c r="M179" s="1">
        <v>46216</v>
      </c>
      <c r="N179" s="1">
        <v>24783</v>
      </c>
      <c r="O179">
        <f>DATEDIF(Sales_Data[[#This Row],[Date of Birth]],Sales_Data[[#This Row],[Order Date]],"y")</f>
        <v>58</v>
      </c>
      <c r="P179" t="str" cm="1">
        <f t="array" ref="P179">_xlfn.IFS(Sales_Data[[#This Row],[Age ]]&lt;=30,"Young Adult",Sales_Data[[#This Row],[Age ]]&lt;=45,"Senior",Sales_Data[[#This Row],[Age ]]&lt;=60,"Adult",Sales_Data[[#This Row],[Age ]]&gt;=61,"Elderly")</f>
        <v>Adult</v>
      </c>
    </row>
    <row r="180" spans="1:16" x14ac:dyDescent="0.3">
      <c r="A180" t="s">
        <v>229</v>
      </c>
      <c r="B180" t="s">
        <v>18</v>
      </c>
      <c r="C180" t="s">
        <v>42</v>
      </c>
      <c r="D180" t="s">
        <v>20</v>
      </c>
      <c r="E180" t="s">
        <v>104</v>
      </c>
      <c r="F180">
        <v>24</v>
      </c>
      <c r="G180" s="2">
        <v>1143</v>
      </c>
      <c r="H180" s="2">
        <v>27432</v>
      </c>
      <c r="I180" t="s">
        <v>15</v>
      </c>
      <c r="J180" t="s">
        <v>34</v>
      </c>
      <c r="K180" t="str">
        <f>TEXT(Sales_Data[[#This Row],[Order Date]],"yyyy")</f>
        <v>2026</v>
      </c>
      <c r="L180" t="str">
        <f>TEXT(Sales_Data[[#This Row],[Order Date]],"mmmm")</f>
        <v>May</v>
      </c>
      <c r="M180" s="1">
        <v>46168</v>
      </c>
      <c r="N180" s="1">
        <v>30047</v>
      </c>
      <c r="O180">
        <f>DATEDIF(Sales_Data[[#This Row],[Date of Birth]],Sales_Data[[#This Row],[Order Date]],"y")</f>
        <v>44</v>
      </c>
      <c r="P180" t="str" cm="1">
        <f t="array" ref="P180">_xlfn.IFS(Sales_Data[[#This Row],[Age ]]&lt;=30,"Young Adult",Sales_Data[[#This Row],[Age ]]&lt;=45,"Senior",Sales_Data[[#This Row],[Age ]]&lt;=60,"Adult",Sales_Data[[#This Row],[Age ]]&gt;=61,"Elderly")</f>
        <v>Senior</v>
      </c>
    </row>
    <row r="181" spans="1:16" x14ac:dyDescent="0.3">
      <c r="A181" t="s">
        <v>230</v>
      </c>
      <c r="B181" t="s">
        <v>29</v>
      </c>
      <c r="C181" t="s">
        <v>46</v>
      </c>
      <c r="D181" t="s">
        <v>30</v>
      </c>
      <c r="E181" t="s">
        <v>61</v>
      </c>
      <c r="F181">
        <v>19</v>
      </c>
      <c r="G181" s="2">
        <v>378</v>
      </c>
      <c r="H181" s="2">
        <v>7182</v>
      </c>
      <c r="I181" t="s">
        <v>22</v>
      </c>
      <c r="J181" t="s">
        <v>34</v>
      </c>
      <c r="K181" t="str">
        <f>TEXT(Sales_Data[[#This Row],[Order Date]],"yyyy")</f>
        <v>2026</v>
      </c>
      <c r="L181" t="str">
        <f>TEXT(Sales_Data[[#This Row],[Order Date]],"mmmm")</f>
        <v>February</v>
      </c>
      <c r="M181" s="1">
        <v>46056</v>
      </c>
      <c r="N181" s="1">
        <v>29995</v>
      </c>
      <c r="O181">
        <f>DATEDIF(Sales_Data[[#This Row],[Date of Birth]],Sales_Data[[#This Row],[Order Date]],"y")</f>
        <v>43</v>
      </c>
      <c r="P181" t="str" cm="1">
        <f t="array" ref="P181">_xlfn.IFS(Sales_Data[[#This Row],[Age ]]&lt;=30,"Young Adult",Sales_Data[[#This Row],[Age ]]&lt;=45,"Senior",Sales_Data[[#This Row],[Age ]]&lt;=60,"Adult",Sales_Data[[#This Row],[Age ]]&gt;=61,"Elderly")</f>
        <v>Senior</v>
      </c>
    </row>
    <row r="182" spans="1:16" x14ac:dyDescent="0.3">
      <c r="A182" t="s">
        <v>231</v>
      </c>
      <c r="B182" t="s">
        <v>18</v>
      </c>
      <c r="C182" t="s">
        <v>26</v>
      </c>
      <c r="D182" t="s">
        <v>20</v>
      </c>
      <c r="E182" t="s">
        <v>43</v>
      </c>
      <c r="F182">
        <v>45</v>
      </c>
      <c r="G182" s="2">
        <v>989</v>
      </c>
      <c r="H182" s="2">
        <v>44505</v>
      </c>
      <c r="I182" t="s">
        <v>22</v>
      </c>
      <c r="J182" t="s">
        <v>34</v>
      </c>
      <c r="K182" t="str">
        <f>TEXT(Sales_Data[[#This Row],[Order Date]],"yyyy")</f>
        <v>2026</v>
      </c>
      <c r="L182" t="str">
        <f>TEXT(Sales_Data[[#This Row],[Order Date]],"mmmm")</f>
        <v>June</v>
      </c>
      <c r="M182" s="1">
        <v>46188</v>
      </c>
      <c r="N182" s="1">
        <v>33506</v>
      </c>
      <c r="O182">
        <f>DATEDIF(Sales_Data[[#This Row],[Date of Birth]],Sales_Data[[#This Row],[Order Date]],"y")</f>
        <v>34</v>
      </c>
      <c r="P182" t="str" cm="1">
        <f t="array" ref="P182">_xlfn.IFS(Sales_Data[[#This Row],[Age ]]&lt;=30,"Young Adult",Sales_Data[[#This Row],[Age ]]&lt;=45,"Senior",Sales_Data[[#This Row],[Age ]]&lt;=60,"Adult",Sales_Data[[#This Row],[Age ]]&gt;=61,"Elderly")</f>
        <v>Senior</v>
      </c>
    </row>
    <row r="183" spans="1:16" x14ac:dyDescent="0.3">
      <c r="A183" t="s">
        <v>232</v>
      </c>
      <c r="B183" t="s">
        <v>11</v>
      </c>
      <c r="C183" t="s">
        <v>69</v>
      </c>
      <c r="D183" t="s">
        <v>13</v>
      </c>
      <c r="E183" t="s">
        <v>14</v>
      </c>
      <c r="F183">
        <v>43</v>
      </c>
      <c r="G183" s="2">
        <v>931</v>
      </c>
      <c r="H183" s="2">
        <v>40033</v>
      </c>
      <c r="I183" t="s">
        <v>15</v>
      </c>
      <c r="J183" t="s">
        <v>16</v>
      </c>
      <c r="K183" t="str">
        <f>TEXT(Sales_Data[[#This Row],[Order Date]],"yyyy")</f>
        <v>2026</v>
      </c>
      <c r="L183" t="str">
        <f>TEXT(Sales_Data[[#This Row],[Order Date]],"mmmm")</f>
        <v>June</v>
      </c>
      <c r="M183" s="1">
        <v>46190</v>
      </c>
      <c r="N183" s="1">
        <v>31411</v>
      </c>
      <c r="O183">
        <f>DATEDIF(Sales_Data[[#This Row],[Date of Birth]],Sales_Data[[#This Row],[Order Date]],"y")</f>
        <v>40</v>
      </c>
      <c r="P183" t="str" cm="1">
        <f t="array" ref="P183">_xlfn.IFS(Sales_Data[[#This Row],[Age ]]&lt;=30,"Young Adult",Sales_Data[[#This Row],[Age ]]&lt;=45,"Senior",Sales_Data[[#This Row],[Age ]]&lt;=60,"Adult",Sales_Data[[#This Row],[Age ]]&gt;=61,"Elderly")</f>
        <v>Senior</v>
      </c>
    </row>
    <row r="184" spans="1:16" x14ac:dyDescent="0.3">
      <c r="A184" t="s">
        <v>233</v>
      </c>
      <c r="B184" t="s">
        <v>29</v>
      </c>
      <c r="C184" t="s">
        <v>26</v>
      </c>
      <c r="D184" t="s">
        <v>20</v>
      </c>
      <c r="E184" t="s">
        <v>21</v>
      </c>
      <c r="F184">
        <v>9</v>
      </c>
      <c r="G184" s="2">
        <v>217</v>
      </c>
      <c r="H184" s="2">
        <v>1953</v>
      </c>
      <c r="I184" t="s">
        <v>22</v>
      </c>
      <c r="J184" t="s">
        <v>16</v>
      </c>
      <c r="K184" t="str">
        <f>TEXT(Sales_Data[[#This Row],[Order Date]],"yyyy")</f>
        <v>2026</v>
      </c>
      <c r="L184" t="str">
        <f>TEXT(Sales_Data[[#This Row],[Order Date]],"mmmm")</f>
        <v>April</v>
      </c>
      <c r="M184" s="1">
        <v>46137</v>
      </c>
      <c r="N184" s="1">
        <v>32412</v>
      </c>
      <c r="O184">
        <f>DATEDIF(Sales_Data[[#This Row],[Date of Birth]],Sales_Data[[#This Row],[Order Date]],"y")</f>
        <v>37</v>
      </c>
      <c r="P184" t="str" cm="1">
        <f t="array" ref="P184">_xlfn.IFS(Sales_Data[[#This Row],[Age ]]&lt;=30,"Young Adult",Sales_Data[[#This Row],[Age ]]&lt;=45,"Senior",Sales_Data[[#This Row],[Age ]]&lt;=60,"Adult",Sales_Data[[#This Row],[Age ]]&gt;=61,"Elderly")</f>
        <v>Senior</v>
      </c>
    </row>
    <row r="185" spans="1:16" x14ac:dyDescent="0.3">
      <c r="A185" t="s">
        <v>234</v>
      </c>
      <c r="B185" t="s">
        <v>25</v>
      </c>
      <c r="C185" t="s">
        <v>12</v>
      </c>
      <c r="D185" t="s">
        <v>13</v>
      </c>
      <c r="E185" t="s">
        <v>49</v>
      </c>
      <c r="F185">
        <v>10</v>
      </c>
      <c r="G185" s="2">
        <v>1021</v>
      </c>
      <c r="H185" s="2">
        <v>10210</v>
      </c>
      <c r="I185" t="s">
        <v>15</v>
      </c>
      <c r="J185" t="s">
        <v>16</v>
      </c>
      <c r="K185" t="str">
        <f>TEXT(Sales_Data[[#This Row],[Order Date]],"yyyy")</f>
        <v>2026</v>
      </c>
      <c r="L185" t="str">
        <f>TEXT(Sales_Data[[#This Row],[Order Date]],"mmmm")</f>
        <v>June</v>
      </c>
      <c r="M185" s="1">
        <v>46185</v>
      </c>
      <c r="N185" s="1">
        <v>27862</v>
      </c>
      <c r="O185">
        <f>DATEDIF(Sales_Data[[#This Row],[Date of Birth]],Sales_Data[[#This Row],[Order Date]],"y")</f>
        <v>50</v>
      </c>
      <c r="P185" t="str" cm="1">
        <f t="array" ref="P185">_xlfn.IFS(Sales_Data[[#This Row],[Age ]]&lt;=30,"Young Adult",Sales_Data[[#This Row],[Age ]]&lt;=45,"Senior",Sales_Data[[#This Row],[Age ]]&lt;=60,"Adult",Sales_Data[[#This Row],[Age ]]&gt;=61,"Elderly")</f>
        <v>Adult</v>
      </c>
    </row>
    <row r="186" spans="1:16" x14ac:dyDescent="0.3">
      <c r="A186" t="s">
        <v>235</v>
      </c>
      <c r="B186" t="s">
        <v>18</v>
      </c>
      <c r="C186" t="s">
        <v>69</v>
      </c>
      <c r="D186" t="s">
        <v>66</v>
      </c>
      <c r="E186" t="s">
        <v>70</v>
      </c>
      <c r="F186">
        <v>21</v>
      </c>
      <c r="G186" s="2">
        <v>43</v>
      </c>
      <c r="H186" s="2">
        <v>903</v>
      </c>
      <c r="I186" t="s">
        <v>15</v>
      </c>
      <c r="J186" t="s">
        <v>34</v>
      </c>
      <c r="K186" t="str">
        <f>TEXT(Sales_Data[[#This Row],[Order Date]],"yyyy")</f>
        <v>2026</v>
      </c>
      <c r="L186" t="str">
        <f>TEXT(Sales_Data[[#This Row],[Order Date]],"mmmm")</f>
        <v>May</v>
      </c>
      <c r="M186" s="1">
        <v>46150</v>
      </c>
      <c r="N186" s="1">
        <v>32807</v>
      </c>
      <c r="O186">
        <f>DATEDIF(Sales_Data[[#This Row],[Date of Birth]],Sales_Data[[#This Row],[Order Date]],"y")</f>
        <v>36</v>
      </c>
      <c r="P186" t="str" cm="1">
        <f t="array" ref="P186">_xlfn.IFS(Sales_Data[[#This Row],[Age ]]&lt;=30,"Young Adult",Sales_Data[[#This Row],[Age ]]&lt;=45,"Senior",Sales_Data[[#This Row],[Age ]]&lt;=60,"Adult",Sales_Data[[#This Row],[Age ]]&gt;=61,"Elderly")</f>
        <v>Senior</v>
      </c>
    </row>
    <row r="187" spans="1:16" x14ac:dyDescent="0.3">
      <c r="A187" t="s">
        <v>236</v>
      </c>
      <c r="B187" t="s">
        <v>25</v>
      </c>
      <c r="C187" t="s">
        <v>19</v>
      </c>
      <c r="D187" t="s">
        <v>20</v>
      </c>
      <c r="E187" t="s">
        <v>27</v>
      </c>
      <c r="F187">
        <v>8</v>
      </c>
      <c r="G187" s="2">
        <v>616</v>
      </c>
      <c r="H187" s="2">
        <v>4928</v>
      </c>
      <c r="I187" t="s">
        <v>22</v>
      </c>
      <c r="J187" t="s">
        <v>16</v>
      </c>
      <c r="K187" t="str">
        <f>TEXT(Sales_Data[[#This Row],[Order Date]],"yyyy")</f>
        <v>2026</v>
      </c>
      <c r="L187" t="str">
        <f>TEXT(Sales_Data[[#This Row],[Order Date]],"mmmm")</f>
        <v>May</v>
      </c>
      <c r="M187" s="1">
        <v>46165</v>
      </c>
      <c r="N187" s="1">
        <v>37846</v>
      </c>
      <c r="O187">
        <f>DATEDIF(Sales_Data[[#This Row],[Date of Birth]],Sales_Data[[#This Row],[Order Date]],"y")</f>
        <v>22</v>
      </c>
      <c r="P187" t="str" cm="1">
        <f t="array" ref="P187">_xlfn.IFS(Sales_Data[[#This Row],[Age ]]&lt;=30,"Young Adult",Sales_Data[[#This Row],[Age ]]&lt;=45,"Senior",Sales_Data[[#This Row],[Age ]]&lt;=60,"Adult",Sales_Data[[#This Row],[Age ]]&gt;=61,"Elderly")</f>
        <v>Young Adult</v>
      </c>
    </row>
    <row r="188" spans="1:16" x14ac:dyDescent="0.3">
      <c r="A188" t="s">
        <v>237</v>
      </c>
      <c r="B188" t="s">
        <v>11</v>
      </c>
      <c r="C188" t="s">
        <v>55</v>
      </c>
      <c r="D188" t="s">
        <v>20</v>
      </c>
      <c r="E188" t="s">
        <v>43</v>
      </c>
      <c r="F188">
        <v>8</v>
      </c>
      <c r="G188" s="2">
        <v>357</v>
      </c>
      <c r="H188" s="2">
        <v>2856</v>
      </c>
      <c r="I188" t="s">
        <v>15</v>
      </c>
      <c r="J188" t="s">
        <v>16</v>
      </c>
      <c r="K188" t="str">
        <f>TEXT(Sales_Data[[#This Row],[Order Date]],"yyyy")</f>
        <v>2026</v>
      </c>
      <c r="L188" t="str">
        <f>TEXT(Sales_Data[[#This Row],[Order Date]],"mmmm")</f>
        <v>February</v>
      </c>
      <c r="M188" s="1">
        <v>46068</v>
      </c>
      <c r="N188" s="1">
        <v>23931</v>
      </c>
      <c r="O188">
        <f>DATEDIF(Sales_Data[[#This Row],[Date of Birth]],Sales_Data[[#This Row],[Order Date]],"y")</f>
        <v>60</v>
      </c>
      <c r="P188" t="str" cm="1">
        <f t="array" ref="P188">_xlfn.IFS(Sales_Data[[#This Row],[Age ]]&lt;=30,"Young Adult",Sales_Data[[#This Row],[Age ]]&lt;=45,"Senior",Sales_Data[[#This Row],[Age ]]&lt;=60,"Adult",Sales_Data[[#This Row],[Age ]]&gt;=61,"Elderly")</f>
        <v>Adult</v>
      </c>
    </row>
    <row r="189" spans="1:16" x14ac:dyDescent="0.3">
      <c r="A189" t="s">
        <v>238</v>
      </c>
      <c r="B189" t="s">
        <v>29</v>
      </c>
      <c r="C189" t="s">
        <v>46</v>
      </c>
      <c r="D189" t="s">
        <v>66</v>
      </c>
      <c r="E189" t="s">
        <v>77</v>
      </c>
      <c r="F189">
        <v>46</v>
      </c>
      <c r="G189" s="2">
        <v>6</v>
      </c>
      <c r="H189" s="2">
        <v>276</v>
      </c>
      <c r="I189" t="s">
        <v>15</v>
      </c>
      <c r="J189" t="s">
        <v>16</v>
      </c>
      <c r="K189" t="str">
        <f>TEXT(Sales_Data[[#This Row],[Order Date]],"yyyy")</f>
        <v>2026</v>
      </c>
      <c r="L189" t="str">
        <f>TEXT(Sales_Data[[#This Row],[Order Date]],"mmmm")</f>
        <v>September</v>
      </c>
      <c r="M189" s="1">
        <v>46283</v>
      </c>
      <c r="N189" s="1">
        <v>34888</v>
      </c>
      <c r="O189">
        <f>DATEDIF(Sales_Data[[#This Row],[Date of Birth]],Sales_Data[[#This Row],[Order Date]],"y")</f>
        <v>31</v>
      </c>
      <c r="P189" t="str" cm="1">
        <f t="array" ref="P189">_xlfn.IFS(Sales_Data[[#This Row],[Age ]]&lt;=30,"Young Adult",Sales_Data[[#This Row],[Age ]]&lt;=45,"Senior",Sales_Data[[#This Row],[Age ]]&lt;=60,"Adult",Sales_Data[[#This Row],[Age ]]&gt;=61,"Elderly")</f>
        <v>Senior</v>
      </c>
    </row>
    <row r="190" spans="1:16" x14ac:dyDescent="0.3">
      <c r="A190" t="s">
        <v>239</v>
      </c>
      <c r="B190" t="s">
        <v>11</v>
      </c>
      <c r="C190" t="s">
        <v>19</v>
      </c>
      <c r="D190" t="s">
        <v>30</v>
      </c>
      <c r="E190" t="s">
        <v>31</v>
      </c>
      <c r="F190">
        <v>33</v>
      </c>
      <c r="G190" s="2">
        <v>279</v>
      </c>
      <c r="H190" s="2">
        <v>9207</v>
      </c>
      <c r="I190" t="s">
        <v>22</v>
      </c>
      <c r="J190" t="s">
        <v>23</v>
      </c>
      <c r="K190" t="str">
        <f>TEXT(Sales_Data[[#This Row],[Order Date]],"yyyy")</f>
        <v>2026</v>
      </c>
      <c r="L190" t="str">
        <f>TEXT(Sales_Data[[#This Row],[Order Date]],"mmmm")</f>
        <v>February</v>
      </c>
      <c r="M190" s="1">
        <v>46060</v>
      </c>
      <c r="N190" s="1">
        <v>35551</v>
      </c>
      <c r="O190">
        <f>DATEDIF(Sales_Data[[#This Row],[Date of Birth]],Sales_Data[[#This Row],[Order Date]],"y")</f>
        <v>28</v>
      </c>
      <c r="P190" t="str" cm="1">
        <f t="array" ref="P190">_xlfn.IFS(Sales_Data[[#This Row],[Age ]]&lt;=30,"Young Adult",Sales_Data[[#This Row],[Age ]]&lt;=45,"Senior",Sales_Data[[#This Row],[Age ]]&lt;=60,"Adult",Sales_Data[[#This Row],[Age ]]&gt;=61,"Elderly")</f>
        <v>Young Adult</v>
      </c>
    </row>
    <row r="191" spans="1:16" x14ac:dyDescent="0.3">
      <c r="A191" t="s">
        <v>240</v>
      </c>
      <c r="B191" t="s">
        <v>11</v>
      </c>
      <c r="C191" t="s">
        <v>12</v>
      </c>
      <c r="D191" t="s">
        <v>66</v>
      </c>
      <c r="E191" t="s">
        <v>92</v>
      </c>
      <c r="F191">
        <v>37</v>
      </c>
      <c r="G191" s="2">
        <v>25</v>
      </c>
      <c r="H191" s="2">
        <v>925</v>
      </c>
      <c r="I191" t="s">
        <v>15</v>
      </c>
      <c r="J191" t="s">
        <v>34</v>
      </c>
      <c r="K191" t="str">
        <f>TEXT(Sales_Data[[#This Row],[Order Date]],"yyyy")</f>
        <v>2026</v>
      </c>
      <c r="L191" t="str">
        <f>TEXT(Sales_Data[[#This Row],[Order Date]],"mmmm")</f>
        <v>August</v>
      </c>
      <c r="M191" s="1">
        <v>46260</v>
      </c>
      <c r="N191" s="1">
        <v>25619</v>
      </c>
      <c r="O191">
        <f>DATEDIF(Sales_Data[[#This Row],[Date of Birth]],Sales_Data[[#This Row],[Order Date]],"y")</f>
        <v>56</v>
      </c>
      <c r="P191" t="str" cm="1">
        <f t="array" ref="P191">_xlfn.IFS(Sales_Data[[#This Row],[Age ]]&lt;=30,"Young Adult",Sales_Data[[#This Row],[Age ]]&lt;=45,"Senior",Sales_Data[[#This Row],[Age ]]&lt;=60,"Adult",Sales_Data[[#This Row],[Age ]]&gt;=61,"Elderly")</f>
        <v>Adult</v>
      </c>
    </row>
    <row r="192" spans="1:16" x14ac:dyDescent="0.3">
      <c r="A192" t="s">
        <v>241</v>
      </c>
      <c r="B192" t="s">
        <v>18</v>
      </c>
      <c r="C192" t="s">
        <v>65</v>
      </c>
      <c r="D192" t="s">
        <v>20</v>
      </c>
      <c r="E192" t="s">
        <v>104</v>
      </c>
      <c r="F192">
        <v>34</v>
      </c>
      <c r="G192" s="2">
        <v>921</v>
      </c>
      <c r="H192" s="2">
        <v>31314</v>
      </c>
      <c r="I192" t="s">
        <v>22</v>
      </c>
      <c r="J192" t="s">
        <v>16</v>
      </c>
      <c r="K192" t="str">
        <f>TEXT(Sales_Data[[#This Row],[Order Date]],"yyyy")</f>
        <v>2026</v>
      </c>
      <c r="L192" t="str">
        <f>TEXT(Sales_Data[[#This Row],[Order Date]],"mmmm")</f>
        <v>July</v>
      </c>
      <c r="M192" s="1">
        <v>46230</v>
      </c>
      <c r="N192" s="1">
        <v>34912</v>
      </c>
      <c r="O192">
        <f>DATEDIF(Sales_Data[[#This Row],[Date of Birth]],Sales_Data[[#This Row],[Order Date]],"y")</f>
        <v>30</v>
      </c>
      <c r="P192" t="str" cm="1">
        <f t="array" ref="P192">_xlfn.IFS(Sales_Data[[#This Row],[Age ]]&lt;=30,"Young Adult",Sales_Data[[#This Row],[Age ]]&lt;=45,"Senior",Sales_Data[[#This Row],[Age ]]&lt;=60,"Adult",Sales_Data[[#This Row],[Age ]]&gt;=61,"Elderly")</f>
        <v>Young Adult</v>
      </c>
    </row>
    <row r="193" spans="1:16" x14ac:dyDescent="0.3">
      <c r="A193" t="s">
        <v>242</v>
      </c>
      <c r="B193" t="s">
        <v>11</v>
      </c>
      <c r="C193" t="s">
        <v>65</v>
      </c>
      <c r="D193" t="s">
        <v>13</v>
      </c>
      <c r="E193" t="s">
        <v>63</v>
      </c>
      <c r="F193">
        <v>30</v>
      </c>
      <c r="G193" s="2">
        <v>1159</v>
      </c>
      <c r="H193" s="2">
        <v>34770</v>
      </c>
      <c r="I193" t="s">
        <v>22</v>
      </c>
      <c r="J193" t="s">
        <v>16</v>
      </c>
      <c r="K193" t="str">
        <f>TEXT(Sales_Data[[#This Row],[Order Date]],"yyyy")</f>
        <v>2026</v>
      </c>
      <c r="L193" t="str">
        <f>TEXT(Sales_Data[[#This Row],[Order Date]],"mmmm")</f>
        <v>June</v>
      </c>
      <c r="M193" s="1">
        <v>46178</v>
      </c>
      <c r="N193" s="1">
        <v>38239</v>
      </c>
      <c r="O193">
        <f>DATEDIF(Sales_Data[[#This Row],[Date of Birth]],Sales_Data[[#This Row],[Order Date]],"y")</f>
        <v>21</v>
      </c>
      <c r="P193" t="str" cm="1">
        <f t="array" ref="P193">_xlfn.IFS(Sales_Data[[#This Row],[Age ]]&lt;=30,"Young Adult",Sales_Data[[#This Row],[Age ]]&lt;=45,"Senior",Sales_Data[[#This Row],[Age ]]&lt;=60,"Adult",Sales_Data[[#This Row],[Age ]]&gt;=61,"Elderly")</f>
        <v>Young Adult</v>
      </c>
    </row>
    <row r="194" spans="1:16" x14ac:dyDescent="0.3">
      <c r="A194" t="s">
        <v>243</v>
      </c>
      <c r="B194" t="s">
        <v>11</v>
      </c>
      <c r="C194" t="s">
        <v>26</v>
      </c>
      <c r="D194" t="s">
        <v>13</v>
      </c>
      <c r="E194" t="s">
        <v>14</v>
      </c>
      <c r="F194">
        <v>34</v>
      </c>
      <c r="G194" s="2">
        <v>413</v>
      </c>
      <c r="H194" s="2">
        <v>14042</v>
      </c>
      <c r="I194" t="s">
        <v>15</v>
      </c>
      <c r="J194" t="s">
        <v>34</v>
      </c>
      <c r="K194" t="str">
        <f>TEXT(Sales_Data[[#This Row],[Order Date]],"yyyy")</f>
        <v>2026</v>
      </c>
      <c r="L194" t="str">
        <f>TEXT(Sales_Data[[#This Row],[Order Date]],"mmmm")</f>
        <v>May</v>
      </c>
      <c r="M194" s="1">
        <v>46148</v>
      </c>
      <c r="N194" s="1">
        <v>32540</v>
      </c>
      <c r="O194">
        <f>DATEDIF(Sales_Data[[#This Row],[Date of Birth]],Sales_Data[[#This Row],[Order Date]],"y")</f>
        <v>37</v>
      </c>
      <c r="P194" t="str" cm="1">
        <f t="array" ref="P194">_xlfn.IFS(Sales_Data[[#This Row],[Age ]]&lt;=30,"Young Adult",Sales_Data[[#This Row],[Age ]]&lt;=45,"Senior",Sales_Data[[#This Row],[Age ]]&lt;=60,"Adult",Sales_Data[[#This Row],[Age ]]&gt;=61,"Elderly")</f>
        <v>Senior</v>
      </c>
    </row>
    <row r="195" spans="1:16" x14ac:dyDescent="0.3">
      <c r="A195" t="s">
        <v>244</v>
      </c>
      <c r="B195" t="s">
        <v>29</v>
      </c>
      <c r="C195" t="s">
        <v>65</v>
      </c>
      <c r="D195" t="s">
        <v>66</v>
      </c>
      <c r="E195" t="s">
        <v>67</v>
      </c>
      <c r="F195">
        <v>17</v>
      </c>
      <c r="G195" s="2">
        <v>14</v>
      </c>
      <c r="H195" s="2">
        <v>238</v>
      </c>
      <c r="I195" t="s">
        <v>22</v>
      </c>
      <c r="J195" t="s">
        <v>16</v>
      </c>
      <c r="K195" t="str">
        <f>TEXT(Sales_Data[[#This Row],[Order Date]],"yyyy")</f>
        <v>2026</v>
      </c>
      <c r="L195" t="str">
        <f>TEXT(Sales_Data[[#This Row],[Order Date]],"mmmm")</f>
        <v>November</v>
      </c>
      <c r="M195" s="1">
        <v>46344</v>
      </c>
      <c r="N195" s="1">
        <v>36045</v>
      </c>
      <c r="O195">
        <f>DATEDIF(Sales_Data[[#This Row],[Date of Birth]],Sales_Data[[#This Row],[Order Date]],"y")</f>
        <v>28</v>
      </c>
      <c r="P195" t="str" cm="1">
        <f t="array" ref="P195">_xlfn.IFS(Sales_Data[[#This Row],[Age ]]&lt;=30,"Young Adult",Sales_Data[[#This Row],[Age ]]&lt;=45,"Senior",Sales_Data[[#This Row],[Age ]]&lt;=60,"Adult",Sales_Data[[#This Row],[Age ]]&gt;=61,"Elderly")</f>
        <v>Young Adult</v>
      </c>
    </row>
    <row r="196" spans="1:16" x14ac:dyDescent="0.3">
      <c r="A196" t="s">
        <v>245</v>
      </c>
      <c r="B196" t="s">
        <v>11</v>
      </c>
      <c r="C196" t="s">
        <v>65</v>
      </c>
      <c r="D196" t="s">
        <v>13</v>
      </c>
      <c r="E196" t="s">
        <v>49</v>
      </c>
      <c r="F196">
        <v>42</v>
      </c>
      <c r="G196" s="2">
        <v>445</v>
      </c>
      <c r="H196" s="2">
        <v>18690</v>
      </c>
      <c r="I196" t="s">
        <v>22</v>
      </c>
      <c r="J196" t="s">
        <v>16</v>
      </c>
      <c r="K196" t="str">
        <f>TEXT(Sales_Data[[#This Row],[Order Date]],"yyyy")</f>
        <v>2026</v>
      </c>
      <c r="L196" t="str">
        <f>TEXT(Sales_Data[[#This Row],[Order Date]],"mmmm")</f>
        <v>October</v>
      </c>
      <c r="M196" s="1">
        <v>46314</v>
      </c>
      <c r="N196" s="1">
        <v>28114</v>
      </c>
      <c r="O196">
        <f>DATEDIF(Sales_Data[[#This Row],[Date of Birth]],Sales_Data[[#This Row],[Order Date]],"y")</f>
        <v>49</v>
      </c>
      <c r="P196" t="str" cm="1">
        <f t="array" ref="P196">_xlfn.IFS(Sales_Data[[#This Row],[Age ]]&lt;=30,"Young Adult",Sales_Data[[#This Row],[Age ]]&lt;=45,"Senior",Sales_Data[[#This Row],[Age ]]&lt;=60,"Adult",Sales_Data[[#This Row],[Age ]]&gt;=61,"Elderly")</f>
        <v>Adult</v>
      </c>
    </row>
    <row r="197" spans="1:16" x14ac:dyDescent="0.3">
      <c r="A197" t="s">
        <v>246</v>
      </c>
      <c r="B197" t="s">
        <v>29</v>
      </c>
      <c r="C197" t="s">
        <v>19</v>
      </c>
      <c r="D197" t="s">
        <v>13</v>
      </c>
      <c r="E197" t="s">
        <v>14</v>
      </c>
      <c r="F197">
        <v>6</v>
      </c>
      <c r="G197" s="2">
        <v>193</v>
      </c>
      <c r="H197" s="2">
        <v>1158</v>
      </c>
      <c r="I197" t="s">
        <v>22</v>
      </c>
      <c r="J197" t="s">
        <v>16</v>
      </c>
      <c r="K197" t="str">
        <f>TEXT(Sales_Data[[#This Row],[Order Date]],"yyyy")</f>
        <v>2026</v>
      </c>
      <c r="L197" t="str">
        <f>TEXT(Sales_Data[[#This Row],[Order Date]],"mmmm")</f>
        <v>November</v>
      </c>
      <c r="M197" s="1">
        <v>46351</v>
      </c>
      <c r="N197" s="1">
        <v>36335</v>
      </c>
      <c r="O197">
        <f>DATEDIF(Sales_Data[[#This Row],[Date of Birth]],Sales_Data[[#This Row],[Order Date]],"y")</f>
        <v>27</v>
      </c>
      <c r="P197" t="str" cm="1">
        <f t="array" ref="P197">_xlfn.IFS(Sales_Data[[#This Row],[Age ]]&lt;=30,"Young Adult",Sales_Data[[#This Row],[Age ]]&lt;=45,"Senior",Sales_Data[[#This Row],[Age ]]&lt;=60,"Adult",Sales_Data[[#This Row],[Age ]]&gt;=61,"Elderly")</f>
        <v>Young Adult</v>
      </c>
    </row>
    <row r="198" spans="1:16" x14ac:dyDescent="0.3">
      <c r="A198" t="s">
        <v>247</v>
      </c>
      <c r="B198" t="s">
        <v>25</v>
      </c>
      <c r="C198" t="s">
        <v>19</v>
      </c>
      <c r="D198" t="s">
        <v>13</v>
      </c>
      <c r="E198" t="s">
        <v>63</v>
      </c>
      <c r="F198">
        <v>41</v>
      </c>
      <c r="G198" s="2">
        <v>693</v>
      </c>
      <c r="H198" s="2">
        <v>28413</v>
      </c>
      <c r="I198" t="s">
        <v>22</v>
      </c>
      <c r="J198" t="s">
        <v>34</v>
      </c>
      <c r="K198" t="str">
        <f>TEXT(Sales_Data[[#This Row],[Order Date]],"yyyy")</f>
        <v>2026</v>
      </c>
      <c r="L198" t="str">
        <f>TEXT(Sales_Data[[#This Row],[Order Date]],"mmmm")</f>
        <v>November</v>
      </c>
      <c r="M198" s="1">
        <v>46336</v>
      </c>
      <c r="N198" s="1">
        <v>34244</v>
      </c>
      <c r="O198">
        <f>DATEDIF(Sales_Data[[#This Row],[Date of Birth]],Sales_Data[[#This Row],[Order Date]],"y")</f>
        <v>33</v>
      </c>
      <c r="P198" t="str" cm="1">
        <f t="array" ref="P198">_xlfn.IFS(Sales_Data[[#This Row],[Age ]]&lt;=30,"Young Adult",Sales_Data[[#This Row],[Age ]]&lt;=45,"Senior",Sales_Data[[#This Row],[Age ]]&lt;=60,"Adult",Sales_Data[[#This Row],[Age ]]&gt;=61,"Elderly")</f>
        <v>Senior</v>
      </c>
    </row>
    <row r="199" spans="1:16" x14ac:dyDescent="0.3">
      <c r="A199" t="s">
        <v>248</v>
      </c>
      <c r="B199" t="s">
        <v>25</v>
      </c>
      <c r="C199" t="s">
        <v>55</v>
      </c>
      <c r="D199" t="s">
        <v>20</v>
      </c>
      <c r="E199" t="s">
        <v>21</v>
      </c>
      <c r="F199">
        <v>45</v>
      </c>
      <c r="G199" s="2">
        <v>202</v>
      </c>
      <c r="H199" s="2">
        <v>9090</v>
      </c>
      <c r="I199" t="s">
        <v>22</v>
      </c>
      <c r="J199" t="s">
        <v>23</v>
      </c>
      <c r="K199" t="str">
        <f>TEXT(Sales_Data[[#This Row],[Order Date]],"yyyy")</f>
        <v>2026</v>
      </c>
      <c r="L199" t="str">
        <f>TEXT(Sales_Data[[#This Row],[Order Date]],"mmmm")</f>
        <v>March</v>
      </c>
      <c r="M199" s="1">
        <v>46096</v>
      </c>
      <c r="N199" s="1">
        <v>29316</v>
      </c>
      <c r="O199">
        <f>DATEDIF(Sales_Data[[#This Row],[Date of Birth]],Sales_Data[[#This Row],[Order Date]],"y")</f>
        <v>45</v>
      </c>
      <c r="P199" t="str" cm="1">
        <f t="array" ref="P199">_xlfn.IFS(Sales_Data[[#This Row],[Age ]]&lt;=30,"Young Adult",Sales_Data[[#This Row],[Age ]]&lt;=45,"Senior",Sales_Data[[#This Row],[Age ]]&lt;=60,"Adult",Sales_Data[[#This Row],[Age ]]&gt;=61,"Elderly")</f>
        <v>Senior</v>
      </c>
    </row>
    <row r="200" spans="1:16" x14ac:dyDescent="0.3">
      <c r="A200" t="s">
        <v>249</v>
      </c>
      <c r="B200" t="s">
        <v>29</v>
      </c>
      <c r="C200" t="s">
        <v>42</v>
      </c>
      <c r="D200" t="s">
        <v>66</v>
      </c>
      <c r="E200" t="s">
        <v>92</v>
      </c>
      <c r="F200">
        <v>10</v>
      </c>
      <c r="G200" s="2">
        <v>22</v>
      </c>
      <c r="H200" s="2">
        <v>220</v>
      </c>
      <c r="I200" t="s">
        <v>15</v>
      </c>
      <c r="J200" t="s">
        <v>34</v>
      </c>
      <c r="K200" t="str">
        <f>TEXT(Sales_Data[[#This Row],[Order Date]],"yyyy")</f>
        <v>2026</v>
      </c>
      <c r="L200" t="str">
        <f>TEXT(Sales_Data[[#This Row],[Order Date]],"mmmm")</f>
        <v>December</v>
      </c>
      <c r="M200" s="1">
        <v>46367</v>
      </c>
      <c r="N200" s="1">
        <v>25570</v>
      </c>
      <c r="O200">
        <f>DATEDIF(Sales_Data[[#This Row],[Date of Birth]],Sales_Data[[#This Row],[Order Date]],"y")</f>
        <v>56</v>
      </c>
      <c r="P200" t="str" cm="1">
        <f t="array" ref="P200">_xlfn.IFS(Sales_Data[[#This Row],[Age ]]&lt;=30,"Young Adult",Sales_Data[[#This Row],[Age ]]&lt;=45,"Senior",Sales_Data[[#This Row],[Age ]]&lt;=60,"Adult",Sales_Data[[#This Row],[Age ]]&gt;=61,"Elderly")</f>
        <v>Adult</v>
      </c>
    </row>
    <row r="201" spans="1:16" x14ac:dyDescent="0.3">
      <c r="A201" t="s">
        <v>250</v>
      </c>
      <c r="B201" t="s">
        <v>25</v>
      </c>
      <c r="C201" t="s">
        <v>19</v>
      </c>
      <c r="D201" t="s">
        <v>13</v>
      </c>
      <c r="E201" t="s">
        <v>40</v>
      </c>
      <c r="F201">
        <v>16</v>
      </c>
      <c r="G201" s="2">
        <v>1055</v>
      </c>
      <c r="H201" s="2">
        <v>16880</v>
      </c>
      <c r="I201" t="s">
        <v>15</v>
      </c>
      <c r="J201" t="s">
        <v>23</v>
      </c>
      <c r="K201" t="str">
        <f>TEXT(Sales_Data[[#This Row],[Order Date]],"yyyy")</f>
        <v>2026</v>
      </c>
      <c r="L201" t="str">
        <f>TEXT(Sales_Data[[#This Row],[Order Date]],"mmmm")</f>
        <v>February</v>
      </c>
      <c r="M201" s="1">
        <v>46062</v>
      </c>
      <c r="N201" s="1">
        <v>28551</v>
      </c>
      <c r="O201">
        <f>DATEDIF(Sales_Data[[#This Row],[Date of Birth]],Sales_Data[[#This Row],[Order Date]],"y")</f>
        <v>47</v>
      </c>
      <c r="P201" t="str" cm="1">
        <f t="array" ref="P201">_xlfn.IFS(Sales_Data[[#This Row],[Age ]]&lt;=30,"Young Adult",Sales_Data[[#This Row],[Age ]]&lt;=45,"Senior",Sales_Data[[#This Row],[Age ]]&lt;=60,"Adult",Sales_Data[[#This Row],[Age ]]&gt;=61,"Elderly")</f>
        <v>Adult</v>
      </c>
    </row>
    <row r="202" spans="1:16" x14ac:dyDescent="0.3">
      <c r="A202" t="s">
        <v>251</v>
      </c>
      <c r="B202" t="s">
        <v>11</v>
      </c>
      <c r="C202" t="s">
        <v>26</v>
      </c>
      <c r="D202" t="s">
        <v>13</v>
      </c>
      <c r="E202" t="s">
        <v>40</v>
      </c>
      <c r="F202">
        <v>25</v>
      </c>
      <c r="G202" s="2">
        <v>956</v>
      </c>
      <c r="H202" s="2">
        <v>23900</v>
      </c>
      <c r="I202" t="s">
        <v>22</v>
      </c>
      <c r="J202" t="s">
        <v>23</v>
      </c>
      <c r="K202" t="str">
        <f>TEXT(Sales_Data[[#This Row],[Order Date]],"yyyy")</f>
        <v>2026</v>
      </c>
      <c r="L202" t="str">
        <f>TEXT(Sales_Data[[#This Row],[Order Date]],"mmmm")</f>
        <v>April</v>
      </c>
      <c r="M202" s="1">
        <v>46140</v>
      </c>
      <c r="N202" s="1">
        <v>30866</v>
      </c>
      <c r="O202">
        <f>DATEDIF(Sales_Data[[#This Row],[Date of Birth]],Sales_Data[[#This Row],[Order Date]],"y")</f>
        <v>41</v>
      </c>
      <c r="P202" t="str" cm="1">
        <f t="array" ref="P202">_xlfn.IFS(Sales_Data[[#This Row],[Age ]]&lt;=30,"Young Adult",Sales_Data[[#This Row],[Age ]]&lt;=45,"Senior",Sales_Data[[#This Row],[Age ]]&lt;=60,"Adult",Sales_Data[[#This Row],[Age ]]&gt;=61,"Elderly")</f>
        <v>Senior</v>
      </c>
    </row>
    <row r="203" spans="1:16" x14ac:dyDescent="0.3">
      <c r="A203" t="s">
        <v>252</v>
      </c>
      <c r="B203" t="s">
        <v>25</v>
      </c>
      <c r="C203" t="s">
        <v>69</v>
      </c>
      <c r="D203" t="s">
        <v>30</v>
      </c>
      <c r="E203" t="s">
        <v>47</v>
      </c>
      <c r="F203">
        <v>33</v>
      </c>
      <c r="G203" s="2">
        <v>528</v>
      </c>
      <c r="H203" s="2">
        <v>17424</v>
      </c>
      <c r="I203" t="s">
        <v>15</v>
      </c>
      <c r="J203" t="s">
        <v>34</v>
      </c>
      <c r="K203" t="str">
        <f>TEXT(Sales_Data[[#This Row],[Order Date]],"yyyy")</f>
        <v>2026</v>
      </c>
      <c r="L203" t="str">
        <f>TEXT(Sales_Data[[#This Row],[Order Date]],"mmmm")</f>
        <v>August</v>
      </c>
      <c r="M203" s="1">
        <v>46244</v>
      </c>
      <c r="N203" s="1">
        <v>26334</v>
      </c>
      <c r="O203">
        <f>DATEDIF(Sales_Data[[#This Row],[Date of Birth]],Sales_Data[[#This Row],[Order Date]],"y")</f>
        <v>54</v>
      </c>
      <c r="P203" t="str" cm="1">
        <f t="array" ref="P203">_xlfn.IFS(Sales_Data[[#This Row],[Age ]]&lt;=30,"Young Adult",Sales_Data[[#This Row],[Age ]]&lt;=45,"Senior",Sales_Data[[#This Row],[Age ]]&lt;=60,"Adult",Sales_Data[[#This Row],[Age ]]&gt;=61,"Elderly")</f>
        <v>Adult</v>
      </c>
    </row>
    <row r="204" spans="1:16" x14ac:dyDescent="0.3">
      <c r="A204" t="s">
        <v>253</v>
      </c>
      <c r="B204" t="s">
        <v>18</v>
      </c>
      <c r="C204" t="s">
        <v>46</v>
      </c>
      <c r="D204" t="s">
        <v>20</v>
      </c>
      <c r="E204" t="s">
        <v>43</v>
      </c>
      <c r="F204">
        <v>14</v>
      </c>
      <c r="G204" s="2">
        <v>1274</v>
      </c>
      <c r="H204" s="2">
        <v>17836</v>
      </c>
      <c r="I204" t="s">
        <v>22</v>
      </c>
      <c r="J204" t="s">
        <v>16</v>
      </c>
      <c r="K204" t="str">
        <f>TEXT(Sales_Data[[#This Row],[Order Date]],"yyyy")</f>
        <v>2026</v>
      </c>
      <c r="L204" t="str">
        <f>TEXT(Sales_Data[[#This Row],[Order Date]],"mmmm")</f>
        <v>June</v>
      </c>
      <c r="M204" s="1">
        <v>46175</v>
      </c>
      <c r="N204" s="1">
        <v>31176</v>
      </c>
      <c r="O204">
        <f>DATEDIF(Sales_Data[[#This Row],[Date of Birth]],Sales_Data[[#This Row],[Order Date]],"y")</f>
        <v>41</v>
      </c>
      <c r="P204" t="str" cm="1">
        <f t="array" ref="P204">_xlfn.IFS(Sales_Data[[#This Row],[Age ]]&lt;=30,"Young Adult",Sales_Data[[#This Row],[Age ]]&lt;=45,"Senior",Sales_Data[[#This Row],[Age ]]&lt;=60,"Adult",Sales_Data[[#This Row],[Age ]]&gt;=61,"Elderly")</f>
        <v>Senior</v>
      </c>
    </row>
    <row r="205" spans="1:16" x14ac:dyDescent="0.3">
      <c r="A205" t="s">
        <v>254</v>
      </c>
      <c r="B205" t="s">
        <v>11</v>
      </c>
      <c r="C205" t="s">
        <v>46</v>
      </c>
      <c r="D205" t="s">
        <v>20</v>
      </c>
      <c r="E205" t="s">
        <v>36</v>
      </c>
      <c r="F205">
        <v>35</v>
      </c>
      <c r="G205" s="2">
        <v>96</v>
      </c>
      <c r="H205" s="2">
        <v>3360</v>
      </c>
      <c r="I205" t="s">
        <v>22</v>
      </c>
      <c r="J205" t="s">
        <v>34</v>
      </c>
      <c r="K205" t="str">
        <f>TEXT(Sales_Data[[#This Row],[Order Date]],"yyyy")</f>
        <v>2026</v>
      </c>
      <c r="L205" t="str">
        <f>TEXT(Sales_Data[[#This Row],[Order Date]],"mmmm")</f>
        <v>February</v>
      </c>
      <c r="M205" s="1">
        <v>46067</v>
      </c>
      <c r="N205" s="1">
        <v>23796</v>
      </c>
      <c r="O205">
        <f>DATEDIF(Sales_Data[[#This Row],[Date of Birth]],Sales_Data[[#This Row],[Order Date]],"y")</f>
        <v>60</v>
      </c>
      <c r="P205" t="str" cm="1">
        <f t="array" ref="P205">_xlfn.IFS(Sales_Data[[#This Row],[Age ]]&lt;=30,"Young Adult",Sales_Data[[#This Row],[Age ]]&lt;=45,"Senior",Sales_Data[[#This Row],[Age ]]&lt;=60,"Adult",Sales_Data[[#This Row],[Age ]]&gt;=61,"Elderly")</f>
        <v>Adult</v>
      </c>
    </row>
    <row r="206" spans="1:16" x14ac:dyDescent="0.3">
      <c r="A206" t="s">
        <v>255</v>
      </c>
      <c r="B206" t="s">
        <v>11</v>
      </c>
      <c r="C206" t="s">
        <v>26</v>
      </c>
      <c r="D206" t="s">
        <v>66</v>
      </c>
      <c r="E206" t="s">
        <v>67</v>
      </c>
      <c r="F206">
        <v>26</v>
      </c>
      <c r="G206" s="2">
        <v>5</v>
      </c>
      <c r="H206" s="2">
        <v>130</v>
      </c>
      <c r="I206" t="s">
        <v>22</v>
      </c>
      <c r="J206" t="s">
        <v>23</v>
      </c>
      <c r="K206" t="str">
        <f>TEXT(Sales_Data[[#This Row],[Order Date]],"yyyy")</f>
        <v>2026</v>
      </c>
      <c r="L206" t="str">
        <f>TEXT(Sales_Data[[#This Row],[Order Date]],"mmmm")</f>
        <v>October</v>
      </c>
      <c r="M206" s="1">
        <v>46313</v>
      </c>
      <c r="N206" s="1">
        <v>35573</v>
      </c>
      <c r="O206">
        <f>DATEDIF(Sales_Data[[#This Row],[Date of Birth]],Sales_Data[[#This Row],[Order Date]],"y")</f>
        <v>29</v>
      </c>
      <c r="P206" t="str" cm="1">
        <f t="array" ref="P206">_xlfn.IFS(Sales_Data[[#This Row],[Age ]]&lt;=30,"Young Adult",Sales_Data[[#This Row],[Age ]]&lt;=45,"Senior",Sales_Data[[#This Row],[Age ]]&lt;=60,"Adult",Sales_Data[[#This Row],[Age ]]&gt;=61,"Elderly")</f>
        <v>Young Adult</v>
      </c>
    </row>
    <row r="207" spans="1:16" x14ac:dyDescent="0.3">
      <c r="A207" t="s">
        <v>256</v>
      </c>
      <c r="B207" t="s">
        <v>18</v>
      </c>
      <c r="C207" t="s">
        <v>65</v>
      </c>
      <c r="D207" t="s">
        <v>20</v>
      </c>
      <c r="E207" t="s">
        <v>27</v>
      </c>
      <c r="F207">
        <v>29</v>
      </c>
      <c r="G207" s="2">
        <v>1206</v>
      </c>
      <c r="H207" s="2">
        <v>34974</v>
      </c>
      <c r="I207" t="s">
        <v>15</v>
      </c>
      <c r="J207" t="s">
        <v>34</v>
      </c>
      <c r="K207" t="str">
        <f>TEXT(Sales_Data[[#This Row],[Order Date]],"yyyy")</f>
        <v>2026</v>
      </c>
      <c r="L207" t="str">
        <f>TEXT(Sales_Data[[#This Row],[Order Date]],"mmmm")</f>
        <v>May</v>
      </c>
      <c r="M207" s="1">
        <v>46169</v>
      </c>
      <c r="N207" s="1">
        <v>38092</v>
      </c>
      <c r="O207">
        <f>DATEDIF(Sales_Data[[#This Row],[Date of Birth]],Sales_Data[[#This Row],[Order Date]],"y")</f>
        <v>22</v>
      </c>
      <c r="P207" t="str" cm="1">
        <f t="array" ref="P207">_xlfn.IFS(Sales_Data[[#This Row],[Age ]]&lt;=30,"Young Adult",Sales_Data[[#This Row],[Age ]]&lt;=45,"Senior",Sales_Data[[#This Row],[Age ]]&lt;=60,"Adult",Sales_Data[[#This Row],[Age ]]&gt;=61,"Elderly")</f>
        <v>Young Adult</v>
      </c>
    </row>
    <row r="208" spans="1:16" x14ac:dyDescent="0.3">
      <c r="A208" t="s">
        <v>257</v>
      </c>
      <c r="B208" t="s">
        <v>25</v>
      </c>
      <c r="C208" t="s">
        <v>69</v>
      </c>
      <c r="D208" t="s">
        <v>66</v>
      </c>
      <c r="E208" t="s">
        <v>77</v>
      </c>
      <c r="F208">
        <v>36</v>
      </c>
      <c r="G208" s="2">
        <v>25</v>
      </c>
      <c r="H208" s="2">
        <v>900</v>
      </c>
      <c r="I208" t="s">
        <v>15</v>
      </c>
      <c r="J208" t="s">
        <v>23</v>
      </c>
      <c r="K208" t="str">
        <f>TEXT(Sales_Data[[#This Row],[Order Date]],"yyyy")</f>
        <v>2026</v>
      </c>
      <c r="L208" t="str">
        <f>TEXT(Sales_Data[[#This Row],[Order Date]],"mmmm")</f>
        <v>March</v>
      </c>
      <c r="M208" s="1">
        <v>46088</v>
      </c>
      <c r="N208" s="1">
        <v>35534</v>
      </c>
      <c r="O208">
        <f>DATEDIF(Sales_Data[[#This Row],[Date of Birth]],Sales_Data[[#This Row],[Order Date]],"y")</f>
        <v>28</v>
      </c>
      <c r="P208" t="str" cm="1">
        <f t="array" ref="P208">_xlfn.IFS(Sales_Data[[#This Row],[Age ]]&lt;=30,"Young Adult",Sales_Data[[#This Row],[Age ]]&lt;=45,"Senior",Sales_Data[[#This Row],[Age ]]&lt;=60,"Adult",Sales_Data[[#This Row],[Age ]]&gt;=61,"Elderly")</f>
        <v>Young Adult</v>
      </c>
    </row>
    <row r="209" spans="1:16" x14ac:dyDescent="0.3">
      <c r="A209" t="s">
        <v>258</v>
      </c>
      <c r="B209" t="s">
        <v>11</v>
      </c>
      <c r="C209" t="s">
        <v>26</v>
      </c>
      <c r="D209" t="s">
        <v>30</v>
      </c>
      <c r="E209" t="s">
        <v>31</v>
      </c>
      <c r="F209">
        <v>31</v>
      </c>
      <c r="G209" s="2">
        <v>581</v>
      </c>
      <c r="H209" s="2">
        <v>18011</v>
      </c>
      <c r="I209" t="s">
        <v>22</v>
      </c>
      <c r="J209" t="s">
        <v>23</v>
      </c>
      <c r="K209" t="str">
        <f>TEXT(Sales_Data[[#This Row],[Order Date]],"yyyy")</f>
        <v>2026</v>
      </c>
      <c r="L209" t="str">
        <f>TEXT(Sales_Data[[#This Row],[Order Date]],"mmmm")</f>
        <v>August</v>
      </c>
      <c r="M209" s="1">
        <v>46239</v>
      </c>
      <c r="N209" s="1">
        <v>28058</v>
      </c>
      <c r="O209">
        <f>DATEDIF(Sales_Data[[#This Row],[Date of Birth]],Sales_Data[[#This Row],[Order Date]],"y")</f>
        <v>49</v>
      </c>
      <c r="P209" t="str" cm="1">
        <f t="array" ref="P209">_xlfn.IFS(Sales_Data[[#This Row],[Age ]]&lt;=30,"Young Adult",Sales_Data[[#This Row],[Age ]]&lt;=45,"Senior",Sales_Data[[#This Row],[Age ]]&lt;=60,"Adult",Sales_Data[[#This Row],[Age ]]&gt;=61,"Elderly")</f>
        <v>Adult</v>
      </c>
    </row>
    <row r="210" spans="1:16" x14ac:dyDescent="0.3">
      <c r="A210" t="s">
        <v>259</v>
      </c>
      <c r="B210" t="s">
        <v>25</v>
      </c>
      <c r="C210" t="s">
        <v>46</v>
      </c>
      <c r="D210" t="s">
        <v>20</v>
      </c>
      <c r="E210" t="s">
        <v>27</v>
      </c>
      <c r="F210">
        <v>48</v>
      </c>
      <c r="G210" s="2">
        <v>692</v>
      </c>
      <c r="H210" s="2">
        <v>33216</v>
      </c>
      <c r="I210" t="s">
        <v>22</v>
      </c>
      <c r="J210" t="s">
        <v>23</v>
      </c>
      <c r="K210" t="str">
        <f>TEXT(Sales_Data[[#This Row],[Order Date]],"yyyy")</f>
        <v>2026</v>
      </c>
      <c r="L210" t="str">
        <f>TEXT(Sales_Data[[#This Row],[Order Date]],"mmmm")</f>
        <v>October</v>
      </c>
      <c r="M210" s="1">
        <v>46306</v>
      </c>
      <c r="N210" s="1">
        <v>31944</v>
      </c>
      <c r="O210">
        <f>DATEDIF(Sales_Data[[#This Row],[Date of Birth]],Sales_Data[[#This Row],[Order Date]],"y")</f>
        <v>39</v>
      </c>
      <c r="P210" t="str" cm="1">
        <f t="array" ref="P210">_xlfn.IFS(Sales_Data[[#This Row],[Age ]]&lt;=30,"Young Adult",Sales_Data[[#This Row],[Age ]]&lt;=45,"Senior",Sales_Data[[#This Row],[Age ]]&lt;=60,"Adult",Sales_Data[[#This Row],[Age ]]&gt;=61,"Elderly")</f>
        <v>Senior</v>
      </c>
    </row>
    <row r="211" spans="1:16" x14ac:dyDescent="0.3">
      <c r="A211" t="s">
        <v>260</v>
      </c>
      <c r="B211" t="s">
        <v>29</v>
      </c>
      <c r="C211" t="s">
        <v>69</v>
      </c>
      <c r="D211" t="s">
        <v>66</v>
      </c>
      <c r="E211" t="s">
        <v>77</v>
      </c>
      <c r="F211">
        <v>44</v>
      </c>
      <c r="G211" s="2">
        <v>9</v>
      </c>
      <c r="H211" s="2">
        <v>396</v>
      </c>
      <c r="I211" t="s">
        <v>22</v>
      </c>
      <c r="J211" t="s">
        <v>34</v>
      </c>
      <c r="K211" t="str">
        <f>TEXT(Sales_Data[[#This Row],[Order Date]],"yyyy")</f>
        <v>2026</v>
      </c>
      <c r="L211" t="str">
        <f>TEXT(Sales_Data[[#This Row],[Order Date]],"mmmm")</f>
        <v>July</v>
      </c>
      <c r="M211" s="1">
        <v>46222</v>
      </c>
      <c r="N211" s="1">
        <v>36226</v>
      </c>
      <c r="O211">
        <f>DATEDIF(Sales_Data[[#This Row],[Date of Birth]],Sales_Data[[#This Row],[Order Date]],"y")</f>
        <v>27</v>
      </c>
      <c r="P211" t="str" cm="1">
        <f t="array" ref="P211">_xlfn.IFS(Sales_Data[[#This Row],[Age ]]&lt;=30,"Young Adult",Sales_Data[[#This Row],[Age ]]&lt;=45,"Senior",Sales_Data[[#This Row],[Age ]]&lt;=60,"Adult",Sales_Data[[#This Row],[Age ]]&gt;=61,"Elderly")</f>
        <v>Young Adult</v>
      </c>
    </row>
    <row r="212" spans="1:16" x14ac:dyDescent="0.3">
      <c r="A212" t="s">
        <v>261</v>
      </c>
      <c r="B212" t="s">
        <v>25</v>
      </c>
      <c r="C212" t="s">
        <v>65</v>
      </c>
      <c r="D212" t="s">
        <v>30</v>
      </c>
      <c r="E212" t="s">
        <v>57</v>
      </c>
      <c r="F212">
        <v>38</v>
      </c>
      <c r="G212" s="2">
        <v>541</v>
      </c>
      <c r="H212" s="2">
        <v>20558</v>
      </c>
      <c r="I212" t="s">
        <v>15</v>
      </c>
      <c r="J212" t="s">
        <v>23</v>
      </c>
      <c r="K212" t="str">
        <f>TEXT(Sales_Data[[#This Row],[Order Date]],"yyyy")</f>
        <v>2026</v>
      </c>
      <c r="L212" t="str">
        <f>TEXT(Sales_Data[[#This Row],[Order Date]],"mmmm")</f>
        <v>March</v>
      </c>
      <c r="M212" s="1">
        <v>46098</v>
      </c>
      <c r="N212" s="1">
        <v>26670</v>
      </c>
      <c r="O212">
        <f>DATEDIF(Sales_Data[[#This Row],[Date of Birth]],Sales_Data[[#This Row],[Order Date]],"y")</f>
        <v>53</v>
      </c>
      <c r="P212" t="str" cm="1">
        <f t="array" ref="P212">_xlfn.IFS(Sales_Data[[#This Row],[Age ]]&lt;=30,"Young Adult",Sales_Data[[#This Row],[Age ]]&lt;=45,"Senior",Sales_Data[[#This Row],[Age ]]&lt;=60,"Adult",Sales_Data[[#This Row],[Age ]]&gt;=61,"Elderly")</f>
        <v>Adult</v>
      </c>
    </row>
    <row r="213" spans="1:16" x14ac:dyDescent="0.3">
      <c r="A213" t="s">
        <v>262</v>
      </c>
      <c r="B213" t="s">
        <v>11</v>
      </c>
      <c r="C213" t="s">
        <v>42</v>
      </c>
      <c r="D213" t="s">
        <v>13</v>
      </c>
      <c r="E213" t="s">
        <v>59</v>
      </c>
      <c r="F213">
        <v>2</v>
      </c>
      <c r="G213" s="2">
        <v>1003</v>
      </c>
      <c r="H213" s="2">
        <v>2006</v>
      </c>
      <c r="I213" t="s">
        <v>15</v>
      </c>
      <c r="J213" t="s">
        <v>34</v>
      </c>
      <c r="K213" t="str">
        <f>TEXT(Sales_Data[[#This Row],[Order Date]],"yyyy")</f>
        <v>2026</v>
      </c>
      <c r="L213" t="str">
        <f>TEXT(Sales_Data[[#This Row],[Order Date]],"mmmm")</f>
        <v>June</v>
      </c>
      <c r="M213" s="1">
        <v>46187</v>
      </c>
      <c r="N213" s="1">
        <v>32060</v>
      </c>
      <c r="O213">
        <f>DATEDIF(Sales_Data[[#This Row],[Date of Birth]],Sales_Data[[#This Row],[Order Date]],"y")</f>
        <v>38</v>
      </c>
      <c r="P213" t="str" cm="1">
        <f t="array" ref="P213">_xlfn.IFS(Sales_Data[[#This Row],[Age ]]&lt;=30,"Young Adult",Sales_Data[[#This Row],[Age ]]&lt;=45,"Senior",Sales_Data[[#This Row],[Age ]]&lt;=60,"Adult",Sales_Data[[#This Row],[Age ]]&gt;=61,"Elderly")</f>
        <v>Senior</v>
      </c>
    </row>
    <row r="214" spans="1:16" x14ac:dyDescent="0.3">
      <c r="A214" t="s">
        <v>263</v>
      </c>
      <c r="B214" t="s">
        <v>29</v>
      </c>
      <c r="C214" t="s">
        <v>55</v>
      </c>
      <c r="D214" t="s">
        <v>20</v>
      </c>
      <c r="E214" t="s">
        <v>21</v>
      </c>
      <c r="F214">
        <v>46</v>
      </c>
      <c r="G214" s="2">
        <v>362</v>
      </c>
      <c r="H214" s="2">
        <v>16652</v>
      </c>
      <c r="I214" t="s">
        <v>22</v>
      </c>
      <c r="J214" t="s">
        <v>34</v>
      </c>
      <c r="K214" t="str">
        <f>TEXT(Sales_Data[[#This Row],[Order Date]],"yyyy")</f>
        <v>2026</v>
      </c>
      <c r="L214" t="str">
        <f>TEXT(Sales_Data[[#This Row],[Order Date]],"mmmm")</f>
        <v>September</v>
      </c>
      <c r="M214" s="1">
        <v>46272</v>
      </c>
      <c r="N214" s="1">
        <v>38695</v>
      </c>
      <c r="O214">
        <f>DATEDIF(Sales_Data[[#This Row],[Date of Birth]],Sales_Data[[#This Row],[Order Date]],"y")</f>
        <v>20</v>
      </c>
      <c r="P214" t="str" cm="1">
        <f t="array" ref="P214">_xlfn.IFS(Sales_Data[[#This Row],[Age ]]&lt;=30,"Young Adult",Sales_Data[[#This Row],[Age ]]&lt;=45,"Senior",Sales_Data[[#This Row],[Age ]]&lt;=60,"Adult",Sales_Data[[#This Row],[Age ]]&gt;=61,"Elderly")</f>
        <v>Young Adult</v>
      </c>
    </row>
    <row r="215" spans="1:16" x14ac:dyDescent="0.3">
      <c r="A215" t="s">
        <v>264</v>
      </c>
      <c r="B215" t="s">
        <v>29</v>
      </c>
      <c r="C215" t="s">
        <v>55</v>
      </c>
      <c r="D215" t="s">
        <v>30</v>
      </c>
      <c r="E215" t="s">
        <v>47</v>
      </c>
      <c r="F215">
        <v>35</v>
      </c>
      <c r="G215" s="2">
        <v>400</v>
      </c>
      <c r="H215" s="2">
        <v>14000</v>
      </c>
      <c r="I215" t="s">
        <v>15</v>
      </c>
      <c r="J215" t="s">
        <v>23</v>
      </c>
      <c r="K215" t="str">
        <f>TEXT(Sales_Data[[#This Row],[Order Date]],"yyyy")</f>
        <v>2026</v>
      </c>
      <c r="L215" t="str">
        <f>TEXT(Sales_Data[[#This Row],[Order Date]],"mmmm")</f>
        <v>September</v>
      </c>
      <c r="M215" s="1">
        <v>46277</v>
      </c>
      <c r="N215" s="1">
        <v>25486</v>
      </c>
      <c r="O215">
        <f>DATEDIF(Sales_Data[[#This Row],[Date of Birth]],Sales_Data[[#This Row],[Order Date]],"y")</f>
        <v>56</v>
      </c>
      <c r="P215" t="str" cm="1">
        <f t="array" ref="P215">_xlfn.IFS(Sales_Data[[#This Row],[Age ]]&lt;=30,"Young Adult",Sales_Data[[#This Row],[Age ]]&lt;=45,"Senior",Sales_Data[[#This Row],[Age ]]&lt;=60,"Adult",Sales_Data[[#This Row],[Age ]]&gt;=61,"Elderly")</f>
        <v>Adult</v>
      </c>
    </row>
    <row r="216" spans="1:16" x14ac:dyDescent="0.3">
      <c r="A216" t="s">
        <v>265</v>
      </c>
      <c r="B216" t="s">
        <v>29</v>
      </c>
      <c r="C216" t="s">
        <v>19</v>
      </c>
      <c r="D216" t="s">
        <v>66</v>
      </c>
      <c r="E216" t="s">
        <v>92</v>
      </c>
      <c r="F216">
        <v>20</v>
      </c>
      <c r="G216" s="2">
        <v>16</v>
      </c>
      <c r="H216" s="2">
        <v>320</v>
      </c>
      <c r="I216" t="s">
        <v>22</v>
      </c>
      <c r="J216" t="s">
        <v>34</v>
      </c>
      <c r="K216" t="str">
        <f>TEXT(Sales_Data[[#This Row],[Order Date]],"yyyy")</f>
        <v>2026</v>
      </c>
      <c r="L216" t="str">
        <f>TEXT(Sales_Data[[#This Row],[Order Date]],"mmmm")</f>
        <v>May</v>
      </c>
      <c r="M216" s="1">
        <v>46167</v>
      </c>
      <c r="N216" s="1">
        <v>38005</v>
      </c>
      <c r="O216">
        <f>DATEDIF(Sales_Data[[#This Row],[Date of Birth]],Sales_Data[[#This Row],[Order Date]],"y")</f>
        <v>22</v>
      </c>
      <c r="P216" t="str" cm="1">
        <f t="array" ref="P216">_xlfn.IFS(Sales_Data[[#This Row],[Age ]]&lt;=30,"Young Adult",Sales_Data[[#This Row],[Age ]]&lt;=45,"Senior",Sales_Data[[#This Row],[Age ]]&lt;=60,"Adult",Sales_Data[[#This Row],[Age ]]&gt;=61,"Elderly")</f>
        <v>Young Adult</v>
      </c>
    </row>
    <row r="217" spans="1:16" x14ac:dyDescent="0.3">
      <c r="A217" t="s">
        <v>266</v>
      </c>
      <c r="B217" t="s">
        <v>25</v>
      </c>
      <c r="C217" t="s">
        <v>42</v>
      </c>
      <c r="D217" t="s">
        <v>20</v>
      </c>
      <c r="E217" t="s">
        <v>36</v>
      </c>
      <c r="F217">
        <v>36</v>
      </c>
      <c r="G217" s="2">
        <v>640</v>
      </c>
      <c r="H217" s="2">
        <v>23040</v>
      </c>
      <c r="I217" t="s">
        <v>22</v>
      </c>
      <c r="J217" t="s">
        <v>23</v>
      </c>
      <c r="K217" t="str">
        <f>TEXT(Sales_Data[[#This Row],[Order Date]],"yyyy")</f>
        <v>2026</v>
      </c>
      <c r="L217" t="str">
        <f>TEXT(Sales_Data[[#This Row],[Order Date]],"mmmm")</f>
        <v>May</v>
      </c>
      <c r="M217" s="1">
        <v>46146</v>
      </c>
      <c r="N217" s="1">
        <v>33987</v>
      </c>
      <c r="O217">
        <f>DATEDIF(Sales_Data[[#This Row],[Date of Birth]],Sales_Data[[#This Row],[Order Date]],"y")</f>
        <v>33</v>
      </c>
      <c r="P217" t="str" cm="1">
        <f t="array" ref="P217">_xlfn.IFS(Sales_Data[[#This Row],[Age ]]&lt;=30,"Young Adult",Sales_Data[[#This Row],[Age ]]&lt;=45,"Senior",Sales_Data[[#This Row],[Age ]]&lt;=60,"Adult",Sales_Data[[#This Row],[Age ]]&gt;=61,"Elderly")</f>
        <v>Senior</v>
      </c>
    </row>
    <row r="218" spans="1:16" x14ac:dyDescent="0.3">
      <c r="A218" t="s">
        <v>267</v>
      </c>
      <c r="B218" t="s">
        <v>25</v>
      </c>
      <c r="C218" t="s">
        <v>46</v>
      </c>
      <c r="D218" t="s">
        <v>66</v>
      </c>
      <c r="E218" t="s">
        <v>67</v>
      </c>
      <c r="F218">
        <v>19</v>
      </c>
      <c r="G218" s="2">
        <v>47</v>
      </c>
      <c r="H218" s="2">
        <v>893</v>
      </c>
      <c r="I218" t="s">
        <v>22</v>
      </c>
      <c r="J218" t="s">
        <v>23</v>
      </c>
      <c r="K218" t="str">
        <f>TEXT(Sales_Data[[#This Row],[Order Date]],"yyyy")</f>
        <v>2026</v>
      </c>
      <c r="L218" t="str">
        <f>TEXT(Sales_Data[[#This Row],[Order Date]],"mmmm")</f>
        <v>February</v>
      </c>
      <c r="M218" s="1">
        <v>46065</v>
      </c>
      <c r="N218" s="1">
        <v>28632</v>
      </c>
      <c r="O218">
        <f>DATEDIF(Sales_Data[[#This Row],[Date of Birth]],Sales_Data[[#This Row],[Order Date]],"y")</f>
        <v>47</v>
      </c>
      <c r="P218" t="str" cm="1">
        <f t="array" ref="P218">_xlfn.IFS(Sales_Data[[#This Row],[Age ]]&lt;=30,"Young Adult",Sales_Data[[#This Row],[Age ]]&lt;=45,"Senior",Sales_Data[[#This Row],[Age ]]&lt;=60,"Adult",Sales_Data[[#This Row],[Age ]]&gt;=61,"Elderly")</f>
        <v>Adult</v>
      </c>
    </row>
    <row r="219" spans="1:16" x14ac:dyDescent="0.3">
      <c r="A219" t="s">
        <v>268</v>
      </c>
      <c r="B219" t="s">
        <v>11</v>
      </c>
      <c r="C219" t="s">
        <v>12</v>
      </c>
      <c r="D219" t="s">
        <v>30</v>
      </c>
      <c r="E219" t="s">
        <v>61</v>
      </c>
      <c r="F219">
        <v>18</v>
      </c>
      <c r="G219" s="2">
        <v>625</v>
      </c>
      <c r="H219" s="2">
        <v>11250</v>
      </c>
      <c r="I219" t="s">
        <v>15</v>
      </c>
      <c r="J219" t="s">
        <v>23</v>
      </c>
      <c r="K219" t="str">
        <f>TEXT(Sales_Data[[#This Row],[Order Date]],"yyyy")</f>
        <v>2026</v>
      </c>
      <c r="L219" t="str">
        <f>TEXT(Sales_Data[[#This Row],[Order Date]],"mmmm")</f>
        <v>December</v>
      </c>
      <c r="M219" s="1">
        <v>46365</v>
      </c>
      <c r="N219" s="1">
        <v>37532</v>
      </c>
      <c r="O219">
        <f>DATEDIF(Sales_Data[[#This Row],[Date of Birth]],Sales_Data[[#This Row],[Order Date]],"y")</f>
        <v>24</v>
      </c>
      <c r="P219" t="str" cm="1">
        <f t="array" ref="P219">_xlfn.IFS(Sales_Data[[#This Row],[Age ]]&lt;=30,"Young Adult",Sales_Data[[#This Row],[Age ]]&lt;=45,"Senior",Sales_Data[[#This Row],[Age ]]&lt;=60,"Adult",Sales_Data[[#This Row],[Age ]]&gt;=61,"Elderly")</f>
        <v>Young Adult</v>
      </c>
    </row>
    <row r="220" spans="1:16" x14ac:dyDescent="0.3">
      <c r="A220" t="s">
        <v>269</v>
      </c>
      <c r="B220" t="s">
        <v>25</v>
      </c>
      <c r="C220" t="s">
        <v>26</v>
      </c>
      <c r="D220" t="s">
        <v>13</v>
      </c>
      <c r="E220" t="s">
        <v>49</v>
      </c>
      <c r="F220">
        <v>15</v>
      </c>
      <c r="G220" s="2">
        <v>576</v>
      </c>
      <c r="H220" s="2">
        <v>8640</v>
      </c>
      <c r="I220" t="s">
        <v>22</v>
      </c>
      <c r="J220" t="s">
        <v>23</v>
      </c>
      <c r="K220" t="str">
        <f>TEXT(Sales_Data[[#This Row],[Order Date]],"yyyy")</f>
        <v>2026</v>
      </c>
      <c r="L220" t="str">
        <f>TEXT(Sales_Data[[#This Row],[Order Date]],"mmmm")</f>
        <v>January</v>
      </c>
      <c r="M220" s="1">
        <v>46026</v>
      </c>
      <c r="N220" s="1">
        <v>34211</v>
      </c>
      <c r="O220">
        <f>DATEDIF(Sales_Data[[#This Row],[Date of Birth]],Sales_Data[[#This Row],[Order Date]],"y")</f>
        <v>32</v>
      </c>
      <c r="P220" t="str" cm="1">
        <f t="array" ref="P220">_xlfn.IFS(Sales_Data[[#This Row],[Age ]]&lt;=30,"Young Adult",Sales_Data[[#This Row],[Age ]]&lt;=45,"Senior",Sales_Data[[#This Row],[Age ]]&lt;=60,"Adult",Sales_Data[[#This Row],[Age ]]&gt;=61,"Elderly")</f>
        <v>Senior</v>
      </c>
    </row>
    <row r="221" spans="1:16" x14ac:dyDescent="0.3">
      <c r="A221" t="s">
        <v>270</v>
      </c>
      <c r="B221" t="s">
        <v>25</v>
      </c>
      <c r="C221" t="s">
        <v>55</v>
      </c>
      <c r="D221" t="s">
        <v>30</v>
      </c>
      <c r="E221" t="s">
        <v>57</v>
      </c>
      <c r="F221">
        <v>36</v>
      </c>
      <c r="G221" s="2">
        <v>211</v>
      </c>
      <c r="H221" s="2">
        <v>7596</v>
      </c>
      <c r="I221" t="s">
        <v>15</v>
      </c>
      <c r="J221" t="s">
        <v>34</v>
      </c>
      <c r="K221" t="str">
        <f>TEXT(Sales_Data[[#This Row],[Order Date]],"yyyy")</f>
        <v>2026</v>
      </c>
      <c r="L221" t="str">
        <f>TEXT(Sales_Data[[#This Row],[Order Date]],"mmmm")</f>
        <v>July</v>
      </c>
      <c r="M221" s="1">
        <v>46224</v>
      </c>
      <c r="N221" s="1">
        <v>32060</v>
      </c>
      <c r="O221">
        <f>DATEDIF(Sales_Data[[#This Row],[Date of Birth]],Sales_Data[[#This Row],[Order Date]],"y")</f>
        <v>38</v>
      </c>
      <c r="P221" t="str" cm="1">
        <f t="array" ref="P221">_xlfn.IFS(Sales_Data[[#This Row],[Age ]]&lt;=30,"Young Adult",Sales_Data[[#This Row],[Age ]]&lt;=45,"Senior",Sales_Data[[#This Row],[Age ]]&lt;=60,"Adult",Sales_Data[[#This Row],[Age ]]&gt;=61,"Elderly")</f>
        <v>Senior</v>
      </c>
    </row>
    <row r="222" spans="1:16" x14ac:dyDescent="0.3">
      <c r="A222" t="s">
        <v>271</v>
      </c>
      <c r="B222" t="s">
        <v>11</v>
      </c>
      <c r="C222" t="s">
        <v>69</v>
      </c>
      <c r="D222" t="s">
        <v>66</v>
      </c>
      <c r="E222" t="s">
        <v>77</v>
      </c>
      <c r="F222">
        <v>42</v>
      </c>
      <c r="G222" s="2">
        <v>5</v>
      </c>
      <c r="H222" s="2">
        <v>210</v>
      </c>
      <c r="I222" t="s">
        <v>15</v>
      </c>
      <c r="J222" t="s">
        <v>34</v>
      </c>
      <c r="K222" t="str">
        <f>TEXT(Sales_Data[[#This Row],[Order Date]],"yyyy")</f>
        <v>2026</v>
      </c>
      <c r="L222" t="str">
        <f>TEXT(Sales_Data[[#This Row],[Order Date]],"mmmm")</f>
        <v>February</v>
      </c>
      <c r="M222" s="1">
        <v>46074</v>
      </c>
      <c r="N222" s="1">
        <v>33720</v>
      </c>
      <c r="O222">
        <f>DATEDIF(Sales_Data[[#This Row],[Date of Birth]],Sales_Data[[#This Row],[Order Date]],"y")</f>
        <v>33</v>
      </c>
      <c r="P222" t="str" cm="1">
        <f t="array" ref="P222">_xlfn.IFS(Sales_Data[[#This Row],[Age ]]&lt;=30,"Young Adult",Sales_Data[[#This Row],[Age ]]&lt;=45,"Senior",Sales_Data[[#This Row],[Age ]]&lt;=60,"Adult",Sales_Data[[#This Row],[Age ]]&gt;=61,"Elderly")</f>
        <v>Senior</v>
      </c>
    </row>
    <row r="223" spans="1:16" x14ac:dyDescent="0.3">
      <c r="A223" t="s">
        <v>272</v>
      </c>
      <c r="B223" t="s">
        <v>29</v>
      </c>
      <c r="C223" t="s">
        <v>69</v>
      </c>
      <c r="D223" t="s">
        <v>30</v>
      </c>
      <c r="E223" t="s">
        <v>57</v>
      </c>
      <c r="F223">
        <v>26</v>
      </c>
      <c r="G223" s="2">
        <v>557</v>
      </c>
      <c r="H223" s="2">
        <v>14482</v>
      </c>
      <c r="I223" t="s">
        <v>15</v>
      </c>
      <c r="J223" t="s">
        <v>34</v>
      </c>
      <c r="K223" t="str">
        <f>TEXT(Sales_Data[[#This Row],[Order Date]],"yyyy")</f>
        <v>2026</v>
      </c>
      <c r="L223" t="str">
        <f>TEXT(Sales_Data[[#This Row],[Order Date]],"mmmm")</f>
        <v>March</v>
      </c>
      <c r="M223" s="1">
        <v>46105</v>
      </c>
      <c r="N223" s="1">
        <v>27001</v>
      </c>
      <c r="O223">
        <f>DATEDIF(Sales_Data[[#This Row],[Date of Birth]],Sales_Data[[#This Row],[Order Date]],"y")</f>
        <v>52</v>
      </c>
      <c r="P223" t="str" cm="1">
        <f t="array" ref="P223">_xlfn.IFS(Sales_Data[[#This Row],[Age ]]&lt;=30,"Young Adult",Sales_Data[[#This Row],[Age ]]&lt;=45,"Senior",Sales_Data[[#This Row],[Age ]]&lt;=60,"Adult",Sales_Data[[#This Row],[Age ]]&gt;=61,"Elderly")</f>
        <v>Adult</v>
      </c>
    </row>
    <row r="224" spans="1:16" x14ac:dyDescent="0.3">
      <c r="A224" t="s">
        <v>273</v>
      </c>
      <c r="B224" t="s">
        <v>25</v>
      </c>
      <c r="C224" t="s">
        <v>65</v>
      </c>
      <c r="D224" t="s">
        <v>13</v>
      </c>
      <c r="E224" t="s">
        <v>40</v>
      </c>
      <c r="F224">
        <v>19</v>
      </c>
      <c r="G224" s="2">
        <v>1030</v>
      </c>
      <c r="H224" s="2">
        <v>19570</v>
      </c>
      <c r="I224" t="s">
        <v>22</v>
      </c>
      <c r="J224" t="s">
        <v>34</v>
      </c>
      <c r="K224" t="str">
        <f>TEXT(Sales_Data[[#This Row],[Order Date]],"yyyy")</f>
        <v>2026</v>
      </c>
      <c r="L224" t="str">
        <f>TEXT(Sales_Data[[#This Row],[Order Date]],"mmmm")</f>
        <v>November</v>
      </c>
      <c r="M224" s="1">
        <v>46344</v>
      </c>
      <c r="N224" s="1">
        <v>26247</v>
      </c>
      <c r="O224">
        <f>DATEDIF(Sales_Data[[#This Row],[Date of Birth]],Sales_Data[[#This Row],[Order Date]],"y")</f>
        <v>55</v>
      </c>
      <c r="P224" t="str" cm="1">
        <f t="array" ref="P224">_xlfn.IFS(Sales_Data[[#This Row],[Age ]]&lt;=30,"Young Adult",Sales_Data[[#This Row],[Age ]]&lt;=45,"Senior",Sales_Data[[#This Row],[Age ]]&lt;=60,"Adult",Sales_Data[[#This Row],[Age ]]&gt;=61,"Elderly")</f>
        <v>Adult</v>
      </c>
    </row>
    <row r="225" spans="1:16" x14ac:dyDescent="0.3">
      <c r="A225" t="s">
        <v>274</v>
      </c>
      <c r="B225" t="s">
        <v>29</v>
      </c>
      <c r="C225" t="s">
        <v>65</v>
      </c>
      <c r="D225" t="s">
        <v>30</v>
      </c>
      <c r="E225" t="s">
        <v>57</v>
      </c>
      <c r="F225">
        <v>22</v>
      </c>
      <c r="G225" s="2">
        <v>216</v>
      </c>
      <c r="H225" s="2">
        <v>4752</v>
      </c>
      <c r="I225" t="s">
        <v>15</v>
      </c>
      <c r="J225" t="s">
        <v>16</v>
      </c>
      <c r="K225" t="str">
        <f>TEXT(Sales_Data[[#This Row],[Order Date]],"yyyy")</f>
        <v>2026</v>
      </c>
      <c r="L225" t="str">
        <f>TEXT(Sales_Data[[#This Row],[Order Date]],"mmmm")</f>
        <v>December</v>
      </c>
      <c r="M225" s="1">
        <v>46371</v>
      </c>
      <c r="N225" s="1">
        <v>29869</v>
      </c>
      <c r="O225">
        <f>DATEDIF(Sales_Data[[#This Row],[Date of Birth]],Sales_Data[[#This Row],[Order Date]],"y")</f>
        <v>45</v>
      </c>
      <c r="P225" t="str" cm="1">
        <f t="array" ref="P225">_xlfn.IFS(Sales_Data[[#This Row],[Age ]]&lt;=30,"Young Adult",Sales_Data[[#This Row],[Age ]]&lt;=45,"Senior",Sales_Data[[#This Row],[Age ]]&lt;=60,"Adult",Sales_Data[[#This Row],[Age ]]&gt;=61,"Elderly")</f>
        <v>Senior</v>
      </c>
    </row>
    <row r="226" spans="1:16" x14ac:dyDescent="0.3">
      <c r="A226" t="s">
        <v>275</v>
      </c>
      <c r="B226" t="s">
        <v>25</v>
      </c>
      <c r="C226" t="s">
        <v>42</v>
      </c>
      <c r="D226" t="s">
        <v>66</v>
      </c>
      <c r="E226" t="s">
        <v>77</v>
      </c>
      <c r="F226">
        <v>37</v>
      </c>
      <c r="G226" s="2">
        <v>45</v>
      </c>
      <c r="H226" s="2">
        <v>1665</v>
      </c>
      <c r="I226" t="s">
        <v>22</v>
      </c>
      <c r="J226" t="s">
        <v>23</v>
      </c>
      <c r="K226" t="str">
        <f>TEXT(Sales_Data[[#This Row],[Order Date]],"yyyy")</f>
        <v>2026</v>
      </c>
      <c r="L226" t="str">
        <f>TEXT(Sales_Data[[#This Row],[Order Date]],"mmmm")</f>
        <v>April</v>
      </c>
      <c r="M226" s="1">
        <v>46118</v>
      </c>
      <c r="N226" s="1">
        <v>36235</v>
      </c>
      <c r="O226">
        <f>DATEDIF(Sales_Data[[#This Row],[Date of Birth]],Sales_Data[[#This Row],[Order Date]],"y")</f>
        <v>27</v>
      </c>
      <c r="P226" t="str" cm="1">
        <f t="array" ref="P226">_xlfn.IFS(Sales_Data[[#This Row],[Age ]]&lt;=30,"Young Adult",Sales_Data[[#This Row],[Age ]]&lt;=45,"Senior",Sales_Data[[#This Row],[Age ]]&lt;=60,"Adult",Sales_Data[[#This Row],[Age ]]&gt;=61,"Elderly")</f>
        <v>Young Adult</v>
      </c>
    </row>
    <row r="227" spans="1:16" x14ac:dyDescent="0.3">
      <c r="A227" t="s">
        <v>276</v>
      </c>
      <c r="B227" t="s">
        <v>11</v>
      </c>
      <c r="C227" t="s">
        <v>69</v>
      </c>
      <c r="D227" t="s">
        <v>20</v>
      </c>
      <c r="E227" t="s">
        <v>21</v>
      </c>
      <c r="F227">
        <v>12</v>
      </c>
      <c r="G227" s="2">
        <v>367</v>
      </c>
      <c r="H227" s="2">
        <v>4404</v>
      </c>
      <c r="I227" t="s">
        <v>22</v>
      </c>
      <c r="J227" t="s">
        <v>34</v>
      </c>
      <c r="K227" t="str">
        <f>TEXT(Sales_Data[[#This Row],[Order Date]],"yyyy")</f>
        <v>2026</v>
      </c>
      <c r="L227" t="str">
        <f>TEXT(Sales_Data[[#This Row],[Order Date]],"mmmm")</f>
        <v>August</v>
      </c>
      <c r="M227" s="1">
        <v>46245</v>
      </c>
      <c r="N227" s="1">
        <v>26389</v>
      </c>
      <c r="O227">
        <f>DATEDIF(Sales_Data[[#This Row],[Date of Birth]],Sales_Data[[#This Row],[Order Date]],"y")</f>
        <v>54</v>
      </c>
      <c r="P227" t="str" cm="1">
        <f t="array" ref="P227">_xlfn.IFS(Sales_Data[[#This Row],[Age ]]&lt;=30,"Young Adult",Sales_Data[[#This Row],[Age ]]&lt;=45,"Senior",Sales_Data[[#This Row],[Age ]]&lt;=60,"Adult",Sales_Data[[#This Row],[Age ]]&gt;=61,"Elderly")</f>
        <v>Adult</v>
      </c>
    </row>
    <row r="228" spans="1:16" x14ac:dyDescent="0.3">
      <c r="A228" t="s">
        <v>277</v>
      </c>
      <c r="B228" t="s">
        <v>18</v>
      </c>
      <c r="C228" t="s">
        <v>46</v>
      </c>
      <c r="D228" t="s">
        <v>30</v>
      </c>
      <c r="E228" t="s">
        <v>47</v>
      </c>
      <c r="F228">
        <v>49</v>
      </c>
      <c r="G228" s="2">
        <v>323</v>
      </c>
      <c r="H228" s="2">
        <v>15827</v>
      </c>
      <c r="I228" t="s">
        <v>22</v>
      </c>
      <c r="J228" t="s">
        <v>16</v>
      </c>
      <c r="K228" t="str">
        <f>TEXT(Sales_Data[[#This Row],[Order Date]],"yyyy")</f>
        <v>2026</v>
      </c>
      <c r="L228" t="str">
        <f>TEXT(Sales_Data[[#This Row],[Order Date]],"mmmm")</f>
        <v>June</v>
      </c>
      <c r="M228" s="1">
        <v>46183</v>
      </c>
      <c r="N228" s="1">
        <v>32580</v>
      </c>
      <c r="O228">
        <f>DATEDIF(Sales_Data[[#This Row],[Date of Birth]],Sales_Data[[#This Row],[Order Date]],"y")</f>
        <v>37</v>
      </c>
      <c r="P228" t="str" cm="1">
        <f t="array" ref="P228">_xlfn.IFS(Sales_Data[[#This Row],[Age ]]&lt;=30,"Young Adult",Sales_Data[[#This Row],[Age ]]&lt;=45,"Senior",Sales_Data[[#This Row],[Age ]]&lt;=60,"Adult",Sales_Data[[#This Row],[Age ]]&gt;=61,"Elderly")</f>
        <v>Senior</v>
      </c>
    </row>
    <row r="229" spans="1:16" x14ac:dyDescent="0.3">
      <c r="A229" t="s">
        <v>278</v>
      </c>
      <c r="B229" t="s">
        <v>11</v>
      </c>
      <c r="C229" t="s">
        <v>42</v>
      </c>
      <c r="D229" t="s">
        <v>30</v>
      </c>
      <c r="E229" t="s">
        <v>57</v>
      </c>
      <c r="F229">
        <v>43</v>
      </c>
      <c r="G229" s="2">
        <v>171</v>
      </c>
      <c r="H229" s="2">
        <v>7353</v>
      </c>
      <c r="I229" t="s">
        <v>22</v>
      </c>
      <c r="J229" t="s">
        <v>16</v>
      </c>
      <c r="K229" t="str">
        <f>TEXT(Sales_Data[[#This Row],[Order Date]],"yyyy")</f>
        <v>2026</v>
      </c>
      <c r="L229" t="str">
        <f>TEXT(Sales_Data[[#This Row],[Order Date]],"mmmm")</f>
        <v>August</v>
      </c>
      <c r="M229" s="1">
        <v>46244</v>
      </c>
      <c r="N229" s="1">
        <v>36500</v>
      </c>
      <c r="O229">
        <f>DATEDIF(Sales_Data[[#This Row],[Date of Birth]],Sales_Data[[#This Row],[Order Date]],"y")</f>
        <v>26</v>
      </c>
      <c r="P229" t="str" cm="1">
        <f t="array" ref="P229">_xlfn.IFS(Sales_Data[[#This Row],[Age ]]&lt;=30,"Young Adult",Sales_Data[[#This Row],[Age ]]&lt;=45,"Senior",Sales_Data[[#This Row],[Age ]]&lt;=60,"Adult",Sales_Data[[#This Row],[Age ]]&gt;=61,"Elderly")</f>
        <v>Young Adult</v>
      </c>
    </row>
    <row r="230" spans="1:16" x14ac:dyDescent="0.3">
      <c r="A230" t="s">
        <v>279</v>
      </c>
      <c r="B230" t="s">
        <v>25</v>
      </c>
      <c r="C230" t="s">
        <v>65</v>
      </c>
      <c r="D230" t="s">
        <v>13</v>
      </c>
      <c r="E230" t="s">
        <v>40</v>
      </c>
      <c r="F230">
        <v>24</v>
      </c>
      <c r="G230" s="2">
        <v>552</v>
      </c>
      <c r="H230" s="2">
        <v>13248</v>
      </c>
      <c r="I230" t="s">
        <v>22</v>
      </c>
      <c r="J230" t="s">
        <v>16</v>
      </c>
      <c r="K230" t="str">
        <f>TEXT(Sales_Data[[#This Row],[Order Date]],"yyyy")</f>
        <v>2026</v>
      </c>
      <c r="L230" t="str">
        <f>TEXT(Sales_Data[[#This Row],[Order Date]],"mmmm")</f>
        <v>April</v>
      </c>
      <c r="M230" s="1">
        <v>46117</v>
      </c>
      <c r="N230" s="1">
        <v>32432</v>
      </c>
      <c r="O230">
        <f>DATEDIF(Sales_Data[[#This Row],[Date of Birth]],Sales_Data[[#This Row],[Order Date]],"y")</f>
        <v>37</v>
      </c>
      <c r="P230" t="str" cm="1">
        <f t="array" ref="P230">_xlfn.IFS(Sales_Data[[#This Row],[Age ]]&lt;=30,"Young Adult",Sales_Data[[#This Row],[Age ]]&lt;=45,"Senior",Sales_Data[[#This Row],[Age ]]&lt;=60,"Adult",Sales_Data[[#This Row],[Age ]]&gt;=61,"Elderly")</f>
        <v>Senior</v>
      </c>
    </row>
    <row r="231" spans="1:16" x14ac:dyDescent="0.3">
      <c r="A231" t="s">
        <v>280</v>
      </c>
      <c r="B231" t="s">
        <v>11</v>
      </c>
      <c r="C231" t="s">
        <v>19</v>
      </c>
      <c r="D231" t="s">
        <v>66</v>
      </c>
      <c r="E231" t="s">
        <v>70</v>
      </c>
      <c r="F231">
        <v>45</v>
      </c>
      <c r="G231" s="2">
        <v>37</v>
      </c>
      <c r="H231" s="2">
        <v>1665</v>
      </c>
      <c r="I231" t="s">
        <v>15</v>
      </c>
      <c r="J231" t="s">
        <v>16</v>
      </c>
      <c r="K231" t="str">
        <f>TEXT(Sales_Data[[#This Row],[Order Date]],"yyyy")</f>
        <v>2026</v>
      </c>
      <c r="L231" t="str">
        <f>TEXT(Sales_Data[[#This Row],[Order Date]],"mmmm")</f>
        <v>August</v>
      </c>
      <c r="M231" s="1">
        <v>46259</v>
      </c>
      <c r="N231" s="1">
        <v>23752</v>
      </c>
      <c r="O231">
        <f>DATEDIF(Sales_Data[[#This Row],[Date of Birth]],Sales_Data[[#This Row],[Order Date]],"y")</f>
        <v>61</v>
      </c>
      <c r="P231" t="str" cm="1">
        <f t="array" ref="P231">_xlfn.IFS(Sales_Data[[#This Row],[Age ]]&lt;=30,"Young Adult",Sales_Data[[#This Row],[Age ]]&lt;=45,"Senior",Sales_Data[[#This Row],[Age ]]&lt;=60,"Adult",Sales_Data[[#This Row],[Age ]]&gt;=61,"Elderly")</f>
        <v>Elderly</v>
      </c>
    </row>
    <row r="232" spans="1:16" x14ac:dyDescent="0.3">
      <c r="A232" t="s">
        <v>281</v>
      </c>
      <c r="B232" t="s">
        <v>18</v>
      </c>
      <c r="C232" t="s">
        <v>69</v>
      </c>
      <c r="D232" t="s">
        <v>20</v>
      </c>
      <c r="E232" t="s">
        <v>27</v>
      </c>
      <c r="F232">
        <v>46</v>
      </c>
      <c r="G232" s="2">
        <v>820</v>
      </c>
      <c r="H232" s="2">
        <v>37720</v>
      </c>
      <c r="I232" t="s">
        <v>15</v>
      </c>
      <c r="J232" t="s">
        <v>16</v>
      </c>
      <c r="K232" t="str">
        <f>TEXT(Sales_Data[[#This Row],[Order Date]],"yyyy")</f>
        <v>2026</v>
      </c>
      <c r="L232" t="str">
        <f>TEXT(Sales_Data[[#This Row],[Order Date]],"mmmm")</f>
        <v>February</v>
      </c>
      <c r="M232" s="1">
        <v>46072</v>
      </c>
      <c r="N232" s="1">
        <v>33556</v>
      </c>
      <c r="O232">
        <f>DATEDIF(Sales_Data[[#This Row],[Date of Birth]],Sales_Data[[#This Row],[Order Date]],"y")</f>
        <v>34</v>
      </c>
      <c r="P232" t="str" cm="1">
        <f t="array" ref="P232">_xlfn.IFS(Sales_Data[[#This Row],[Age ]]&lt;=30,"Young Adult",Sales_Data[[#This Row],[Age ]]&lt;=45,"Senior",Sales_Data[[#This Row],[Age ]]&lt;=60,"Adult",Sales_Data[[#This Row],[Age ]]&gt;=61,"Elderly")</f>
        <v>Senior</v>
      </c>
    </row>
    <row r="233" spans="1:16" x14ac:dyDescent="0.3">
      <c r="A233" t="s">
        <v>282</v>
      </c>
      <c r="B233" t="s">
        <v>11</v>
      </c>
      <c r="C233" t="s">
        <v>55</v>
      </c>
      <c r="D233" t="s">
        <v>30</v>
      </c>
      <c r="E233" t="s">
        <v>38</v>
      </c>
      <c r="F233">
        <v>21</v>
      </c>
      <c r="G233" s="2">
        <v>582</v>
      </c>
      <c r="H233" s="2">
        <v>12222</v>
      </c>
      <c r="I233" t="s">
        <v>15</v>
      </c>
      <c r="J233" t="s">
        <v>16</v>
      </c>
      <c r="K233" t="str">
        <f>TEXT(Sales_Data[[#This Row],[Order Date]],"yyyy")</f>
        <v>2026</v>
      </c>
      <c r="L233" t="str">
        <f>TEXT(Sales_Data[[#This Row],[Order Date]],"mmmm")</f>
        <v>August</v>
      </c>
      <c r="M233" s="1">
        <v>46238</v>
      </c>
      <c r="N233" s="1">
        <v>29053</v>
      </c>
      <c r="O233">
        <f>DATEDIF(Sales_Data[[#This Row],[Date of Birth]],Sales_Data[[#This Row],[Order Date]],"y")</f>
        <v>47</v>
      </c>
      <c r="P233" t="str" cm="1">
        <f t="array" ref="P233">_xlfn.IFS(Sales_Data[[#This Row],[Age ]]&lt;=30,"Young Adult",Sales_Data[[#This Row],[Age ]]&lt;=45,"Senior",Sales_Data[[#This Row],[Age ]]&lt;=60,"Adult",Sales_Data[[#This Row],[Age ]]&gt;=61,"Elderly")</f>
        <v>Adult</v>
      </c>
    </row>
    <row r="234" spans="1:16" x14ac:dyDescent="0.3">
      <c r="A234" t="s">
        <v>283</v>
      </c>
      <c r="B234" t="s">
        <v>25</v>
      </c>
      <c r="C234" t="s">
        <v>69</v>
      </c>
      <c r="D234" t="s">
        <v>20</v>
      </c>
      <c r="E234" t="s">
        <v>21</v>
      </c>
      <c r="F234">
        <v>30</v>
      </c>
      <c r="G234" s="2">
        <v>350</v>
      </c>
      <c r="H234" s="2">
        <v>10500</v>
      </c>
      <c r="I234" t="s">
        <v>22</v>
      </c>
      <c r="J234" t="s">
        <v>16</v>
      </c>
      <c r="K234" t="str">
        <f>TEXT(Sales_Data[[#This Row],[Order Date]],"yyyy")</f>
        <v>2026</v>
      </c>
      <c r="L234" t="str">
        <f>TEXT(Sales_Data[[#This Row],[Order Date]],"mmmm")</f>
        <v>September</v>
      </c>
      <c r="M234" s="1">
        <v>46279</v>
      </c>
      <c r="N234" s="1">
        <v>31748</v>
      </c>
      <c r="O234">
        <f>DATEDIF(Sales_Data[[#This Row],[Date of Birth]],Sales_Data[[#This Row],[Order Date]],"y")</f>
        <v>39</v>
      </c>
      <c r="P234" t="str" cm="1">
        <f t="array" ref="P234">_xlfn.IFS(Sales_Data[[#This Row],[Age ]]&lt;=30,"Young Adult",Sales_Data[[#This Row],[Age ]]&lt;=45,"Senior",Sales_Data[[#This Row],[Age ]]&lt;=60,"Adult",Sales_Data[[#This Row],[Age ]]&gt;=61,"Elderly")</f>
        <v>Senior</v>
      </c>
    </row>
    <row r="235" spans="1:16" x14ac:dyDescent="0.3">
      <c r="A235" t="s">
        <v>284</v>
      </c>
      <c r="B235" t="s">
        <v>11</v>
      </c>
      <c r="C235" t="s">
        <v>12</v>
      </c>
      <c r="D235" t="s">
        <v>66</v>
      </c>
      <c r="E235" t="s">
        <v>67</v>
      </c>
      <c r="F235">
        <v>26</v>
      </c>
      <c r="G235" s="2">
        <v>18</v>
      </c>
      <c r="H235" s="2">
        <v>468</v>
      </c>
      <c r="I235" t="s">
        <v>15</v>
      </c>
      <c r="J235" t="s">
        <v>34</v>
      </c>
      <c r="K235" t="str">
        <f>TEXT(Sales_Data[[#This Row],[Order Date]],"yyyy")</f>
        <v>2026</v>
      </c>
      <c r="L235" t="str">
        <f>TEXT(Sales_Data[[#This Row],[Order Date]],"mmmm")</f>
        <v>January</v>
      </c>
      <c r="M235" s="1">
        <v>46046</v>
      </c>
      <c r="N235" s="1">
        <v>24062</v>
      </c>
      <c r="O235">
        <f>DATEDIF(Sales_Data[[#This Row],[Date of Birth]],Sales_Data[[#This Row],[Order Date]],"y")</f>
        <v>60</v>
      </c>
      <c r="P235" t="str" cm="1">
        <f t="array" ref="P235">_xlfn.IFS(Sales_Data[[#This Row],[Age ]]&lt;=30,"Young Adult",Sales_Data[[#This Row],[Age ]]&lt;=45,"Senior",Sales_Data[[#This Row],[Age ]]&lt;=60,"Adult",Sales_Data[[#This Row],[Age ]]&gt;=61,"Elderly")</f>
        <v>Adult</v>
      </c>
    </row>
    <row r="236" spans="1:16" x14ac:dyDescent="0.3">
      <c r="A236" t="s">
        <v>285</v>
      </c>
      <c r="B236" t="s">
        <v>18</v>
      </c>
      <c r="C236" t="s">
        <v>46</v>
      </c>
      <c r="D236" t="s">
        <v>66</v>
      </c>
      <c r="E236" t="s">
        <v>67</v>
      </c>
      <c r="F236">
        <v>35</v>
      </c>
      <c r="G236" s="2">
        <v>5</v>
      </c>
      <c r="H236" s="2">
        <v>175</v>
      </c>
      <c r="I236" t="s">
        <v>22</v>
      </c>
      <c r="J236" t="s">
        <v>23</v>
      </c>
      <c r="K236" t="str">
        <f>TEXT(Sales_Data[[#This Row],[Order Date]],"yyyy")</f>
        <v>2026</v>
      </c>
      <c r="L236" t="str">
        <f>TEXT(Sales_Data[[#This Row],[Order Date]],"mmmm")</f>
        <v>February</v>
      </c>
      <c r="M236" s="1">
        <v>46069</v>
      </c>
      <c r="N236" s="1">
        <v>25575</v>
      </c>
      <c r="O236">
        <f>DATEDIF(Sales_Data[[#This Row],[Date of Birth]],Sales_Data[[#This Row],[Order Date]],"y")</f>
        <v>56</v>
      </c>
      <c r="P236" t="str" cm="1">
        <f t="array" ref="P236">_xlfn.IFS(Sales_Data[[#This Row],[Age ]]&lt;=30,"Young Adult",Sales_Data[[#This Row],[Age ]]&lt;=45,"Senior",Sales_Data[[#This Row],[Age ]]&lt;=60,"Adult",Sales_Data[[#This Row],[Age ]]&gt;=61,"Elderly")</f>
        <v>Adult</v>
      </c>
    </row>
    <row r="237" spans="1:16" x14ac:dyDescent="0.3">
      <c r="A237" t="s">
        <v>286</v>
      </c>
      <c r="B237" t="s">
        <v>25</v>
      </c>
      <c r="C237" t="s">
        <v>42</v>
      </c>
      <c r="D237" t="s">
        <v>30</v>
      </c>
      <c r="E237" t="s">
        <v>47</v>
      </c>
      <c r="F237">
        <v>24</v>
      </c>
      <c r="G237" s="2">
        <v>441</v>
      </c>
      <c r="H237" s="2">
        <v>10584</v>
      </c>
      <c r="I237" t="s">
        <v>15</v>
      </c>
      <c r="J237" t="s">
        <v>16</v>
      </c>
      <c r="K237" t="str">
        <f>TEXT(Sales_Data[[#This Row],[Order Date]],"yyyy")</f>
        <v>2026</v>
      </c>
      <c r="L237" t="str">
        <f>TEXT(Sales_Data[[#This Row],[Order Date]],"mmmm")</f>
        <v>August</v>
      </c>
      <c r="M237" s="1">
        <v>46262</v>
      </c>
      <c r="N237" s="1">
        <v>29690</v>
      </c>
      <c r="O237">
        <f>DATEDIF(Sales_Data[[#This Row],[Date of Birth]],Sales_Data[[#This Row],[Order Date]],"y")</f>
        <v>45</v>
      </c>
      <c r="P237" t="str" cm="1">
        <f t="array" ref="P237">_xlfn.IFS(Sales_Data[[#This Row],[Age ]]&lt;=30,"Young Adult",Sales_Data[[#This Row],[Age ]]&lt;=45,"Senior",Sales_Data[[#This Row],[Age ]]&lt;=60,"Adult",Sales_Data[[#This Row],[Age ]]&gt;=61,"Elderly")</f>
        <v>Senior</v>
      </c>
    </row>
    <row r="238" spans="1:16" x14ac:dyDescent="0.3">
      <c r="A238" t="s">
        <v>287</v>
      </c>
      <c r="B238" t="s">
        <v>11</v>
      </c>
      <c r="C238" t="s">
        <v>19</v>
      </c>
      <c r="D238" t="s">
        <v>30</v>
      </c>
      <c r="E238" t="s">
        <v>31</v>
      </c>
      <c r="F238">
        <v>8</v>
      </c>
      <c r="G238" s="2">
        <v>232</v>
      </c>
      <c r="H238" s="2">
        <v>1856</v>
      </c>
      <c r="I238" t="s">
        <v>15</v>
      </c>
      <c r="J238" t="s">
        <v>23</v>
      </c>
      <c r="K238" t="str">
        <f>TEXT(Sales_Data[[#This Row],[Order Date]],"yyyy")</f>
        <v>2026</v>
      </c>
      <c r="L238" t="str">
        <f>TEXT(Sales_Data[[#This Row],[Order Date]],"mmmm")</f>
        <v>September</v>
      </c>
      <c r="M238" s="1">
        <v>46278</v>
      </c>
      <c r="N238" s="1">
        <v>38139</v>
      </c>
      <c r="O238">
        <f>DATEDIF(Sales_Data[[#This Row],[Date of Birth]],Sales_Data[[#This Row],[Order Date]],"y")</f>
        <v>22</v>
      </c>
      <c r="P238" t="str" cm="1">
        <f t="array" ref="P238">_xlfn.IFS(Sales_Data[[#This Row],[Age ]]&lt;=30,"Young Adult",Sales_Data[[#This Row],[Age ]]&lt;=45,"Senior",Sales_Data[[#This Row],[Age ]]&lt;=60,"Adult",Sales_Data[[#This Row],[Age ]]&gt;=61,"Elderly")</f>
        <v>Young Adult</v>
      </c>
    </row>
    <row r="239" spans="1:16" x14ac:dyDescent="0.3">
      <c r="A239" t="s">
        <v>288</v>
      </c>
      <c r="B239" t="s">
        <v>25</v>
      </c>
      <c r="C239" t="s">
        <v>19</v>
      </c>
      <c r="D239" t="s">
        <v>66</v>
      </c>
      <c r="E239" t="s">
        <v>70</v>
      </c>
      <c r="F239">
        <v>44</v>
      </c>
      <c r="G239" s="2">
        <v>48</v>
      </c>
      <c r="H239" s="2">
        <v>2112</v>
      </c>
      <c r="I239" t="s">
        <v>15</v>
      </c>
      <c r="J239" t="s">
        <v>34</v>
      </c>
      <c r="K239" t="str">
        <f>TEXT(Sales_Data[[#This Row],[Order Date]],"yyyy")</f>
        <v>2026</v>
      </c>
      <c r="L239" t="str">
        <f>TEXT(Sales_Data[[#This Row],[Order Date]],"mmmm")</f>
        <v>September</v>
      </c>
      <c r="M239" s="1">
        <v>46279</v>
      </c>
      <c r="N239" s="1">
        <v>37369</v>
      </c>
      <c r="O239">
        <f>DATEDIF(Sales_Data[[#This Row],[Date of Birth]],Sales_Data[[#This Row],[Order Date]],"y")</f>
        <v>24</v>
      </c>
      <c r="P239" t="str" cm="1">
        <f t="array" ref="P239">_xlfn.IFS(Sales_Data[[#This Row],[Age ]]&lt;=30,"Young Adult",Sales_Data[[#This Row],[Age ]]&lt;=45,"Senior",Sales_Data[[#This Row],[Age ]]&lt;=60,"Adult",Sales_Data[[#This Row],[Age ]]&gt;=61,"Elderly")</f>
        <v>Young Adult</v>
      </c>
    </row>
    <row r="240" spans="1:16" x14ac:dyDescent="0.3">
      <c r="A240" t="s">
        <v>289</v>
      </c>
      <c r="B240" t="s">
        <v>18</v>
      </c>
      <c r="C240" t="s">
        <v>69</v>
      </c>
      <c r="D240" t="s">
        <v>66</v>
      </c>
      <c r="E240" t="s">
        <v>83</v>
      </c>
      <c r="F240">
        <v>18</v>
      </c>
      <c r="G240" s="2">
        <v>14</v>
      </c>
      <c r="H240" s="2">
        <v>252</v>
      </c>
      <c r="I240" t="s">
        <v>22</v>
      </c>
      <c r="J240" t="s">
        <v>16</v>
      </c>
      <c r="K240" t="str">
        <f>TEXT(Sales_Data[[#This Row],[Order Date]],"yyyy")</f>
        <v>2026</v>
      </c>
      <c r="L240" t="str">
        <f>TEXT(Sales_Data[[#This Row],[Order Date]],"mmmm")</f>
        <v>December</v>
      </c>
      <c r="M240" s="1">
        <v>46381</v>
      </c>
      <c r="N240" s="1">
        <v>36961</v>
      </c>
      <c r="O240">
        <f>DATEDIF(Sales_Data[[#This Row],[Date of Birth]],Sales_Data[[#This Row],[Order Date]],"y")</f>
        <v>25</v>
      </c>
      <c r="P240" t="str" cm="1">
        <f t="array" ref="P240">_xlfn.IFS(Sales_Data[[#This Row],[Age ]]&lt;=30,"Young Adult",Sales_Data[[#This Row],[Age ]]&lt;=45,"Senior",Sales_Data[[#This Row],[Age ]]&lt;=60,"Adult",Sales_Data[[#This Row],[Age ]]&gt;=61,"Elderly")</f>
        <v>Young Adult</v>
      </c>
    </row>
    <row r="241" spans="1:16" x14ac:dyDescent="0.3">
      <c r="A241" t="s">
        <v>290</v>
      </c>
      <c r="B241" t="s">
        <v>18</v>
      </c>
      <c r="C241" t="s">
        <v>55</v>
      </c>
      <c r="D241" t="s">
        <v>13</v>
      </c>
      <c r="E241" t="s">
        <v>59</v>
      </c>
      <c r="F241">
        <v>14</v>
      </c>
      <c r="G241" s="2">
        <v>237</v>
      </c>
      <c r="H241" s="2">
        <v>3318</v>
      </c>
      <c r="I241" t="s">
        <v>15</v>
      </c>
      <c r="J241" t="s">
        <v>23</v>
      </c>
      <c r="K241" t="str">
        <f>TEXT(Sales_Data[[#This Row],[Order Date]],"yyyy")</f>
        <v>2026</v>
      </c>
      <c r="L241" t="str">
        <f>TEXT(Sales_Data[[#This Row],[Order Date]],"mmmm")</f>
        <v>February</v>
      </c>
      <c r="M241" s="1">
        <v>46073</v>
      </c>
      <c r="N241" s="1">
        <v>28781</v>
      </c>
      <c r="O241">
        <f>DATEDIF(Sales_Data[[#This Row],[Date of Birth]],Sales_Data[[#This Row],[Order Date]],"y")</f>
        <v>47</v>
      </c>
      <c r="P241" t="str" cm="1">
        <f t="array" ref="P241">_xlfn.IFS(Sales_Data[[#This Row],[Age ]]&lt;=30,"Young Adult",Sales_Data[[#This Row],[Age ]]&lt;=45,"Senior",Sales_Data[[#This Row],[Age ]]&lt;=60,"Adult",Sales_Data[[#This Row],[Age ]]&gt;=61,"Elderly")</f>
        <v>Adult</v>
      </c>
    </row>
    <row r="242" spans="1:16" x14ac:dyDescent="0.3">
      <c r="A242" t="s">
        <v>291</v>
      </c>
      <c r="B242" t="s">
        <v>18</v>
      </c>
      <c r="C242" t="s">
        <v>65</v>
      </c>
      <c r="D242" t="s">
        <v>13</v>
      </c>
      <c r="E242" t="s">
        <v>63</v>
      </c>
      <c r="F242">
        <v>29</v>
      </c>
      <c r="G242" s="2">
        <v>579</v>
      </c>
      <c r="H242" s="2">
        <v>16791</v>
      </c>
      <c r="I242" t="s">
        <v>22</v>
      </c>
      <c r="J242" t="s">
        <v>23</v>
      </c>
      <c r="K242" t="str">
        <f>TEXT(Sales_Data[[#This Row],[Order Date]],"yyyy")</f>
        <v>2026</v>
      </c>
      <c r="L242" t="str">
        <f>TEXT(Sales_Data[[#This Row],[Order Date]],"mmmm")</f>
        <v>September</v>
      </c>
      <c r="M242" s="1">
        <v>46272</v>
      </c>
      <c r="N242" s="1">
        <v>27666</v>
      </c>
      <c r="O242">
        <f>DATEDIF(Sales_Data[[#This Row],[Date of Birth]],Sales_Data[[#This Row],[Order Date]],"y")</f>
        <v>50</v>
      </c>
      <c r="P242" t="str" cm="1">
        <f t="array" ref="P242">_xlfn.IFS(Sales_Data[[#This Row],[Age ]]&lt;=30,"Young Adult",Sales_Data[[#This Row],[Age ]]&lt;=45,"Senior",Sales_Data[[#This Row],[Age ]]&lt;=60,"Adult",Sales_Data[[#This Row],[Age ]]&gt;=61,"Elderly")</f>
        <v>Adult</v>
      </c>
    </row>
    <row r="243" spans="1:16" x14ac:dyDescent="0.3">
      <c r="A243" t="s">
        <v>292</v>
      </c>
      <c r="B243" t="s">
        <v>29</v>
      </c>
      <c r="C243" t="s">
        <v>65</v>
      </c>
      <c r="D243" t="s">
        <v>66</v>
      </c>
      <c r="E243" t="s">
        <v>92</v>
      </c>
      <c r="F243">
        <v>39</v>
      </c>
      <c r="G243" s="2">
        <v>45</v>
      </c>
      <c r="H243" s="2">
        <v>1755</v>
      </c>
      <c r="I243" t="s">
        <v>15</v>
      </c>
      <c r="J243" t="s">
        <v>34</v>
      </c>
      <c r="K243" t="str">
        <f>TEXT(Sales_Data[[#This Row],[Order Date]],"yyyy")</f>
        <v>2026</v>
      </c>
      <c r="L243" t="str">
        <f>TEXT(Sales_Data[[#This Row],[Order Date]],"mmmm")</f>
        <v>June</v>
      </c>
      <c r="M243" s="1">
        <v>46181</v>
      </c>
      <c r="N243" s="1">
        <v>24692</v>
      </c>
      <c r="O243">
        <f>DATEDIF(Sales_Data[[#This Row],[Date of Birth]],Sales_Data[[#This Row],[Order Date]],"y")</f>
        <v>58</v>
      </c>
      <c r="P243" t="str" cm="1">
        <f t="array" ref="P243">_xlfn.IFS(Sales_Data[[#This Row],[Age ]]&lt;=30,"Young Adult",Sales_Data[[#This Row],[Age ]]&lt;=45,"Senior",Sales_Data[[#This Row],[Age ]]&lt;=60,"Adult",Sales_Data[[#This Row],[Age ]]&gt;=61,"Elderly")</f>
        <v>Adult</v>
      </c>
    </row>
    <row r="244" spans="1:16" x14ac:dyDescent="0.3">
      <c r="A244" t="s">
        <v>293</v>
      </c>
      <c r="B244" t="s">
        <v>11</v>
      </c>
      <c r="C244" t="s">
        <v>42</v>
      </c>
      <c r="D244" t="s">
        <v>66</v>
      </c>
      <c r="E244" t="s">
        <v>77</v>
      </c>
      <c r="F244">
        <v>4</v>
      </c>
      <c r="G244" s="2">
        <v>37</v>
      </c>
      <c r="H244" s="2">
        <v>148</v>
      </c>
      <c r="I244" t="s">
        <v>22</v>
      </c>
      <c r="J244" t="s">
        <v>23</v>
      </c>
      <c r="K244" t="str">
        <f>TEXT(Sales_Data[[#This Row],[Order Date]],"yyyy")</f>
        <v>2026</v>
      </c>
      <c r="L244" t="str">
        <f>TEXT(Sales_Data[[#This Row],[Order Date]],"mmmm")</f>
        <v>October</v>
      </c>
      <c r="M244" s="1">
        <v>46319</v>
      </c>
      <c r="N244" s="1">
        <v>27689</v>
      </c>
      <c r="O244">
        <f>DATEDIF(Sales_Data[[#This Row],[Date of Birth]],Sales_Data[[#This Row],[Order Date]],"y")</f>
        <v>51</v>
      </c>
      <c r="P244" t="str" cm="1">
        <f t="array" ref="P244">_xlfn.IFS(Sales_Data[[#This Row],[Age ]]&lt;=30,"Young Adult",Sales_Data[[#This Row],[Age ]]&lt;=45,"Senior",Sales_Data[[#This Row],[Age ]]&lt;=60,"Adult",Sales_Data[[#This Row],[Age ]]&gt;=61,"Elderly")</f>
        <v>Adult</v>
      </c>
    </row>
    <row r="245" spans="1:16" x14ac:dyDescent="0.3">
      <c r="A245" t="s">
        <v>294</v>
      </c>
      <c r="B245" t="s">
        <v>25</v>
      </c>
      <c r="C245" t="s">
        <v>65</v>
      </c>
      <c r="D245" t="s">
        <v>66</v>
      </c>
      <c r="E245" t="s">
        <v>70</v>
      </c>
      <c r="F245">
        <v>34</v>
      </c>
      <c r="G245" s="2">
        <v>22</v>
      </c>
      <c r="H245" s="2">
        <v>748</v>
      </c>
      <c r="I245" t="s">
        <v>22</v>
      </c>
      <c r="J245" t="s">
        <v>34</v>
      </c>
      <c r="K245" t="str">
        <f>TEXT(Sales_Data[[#This Row],[Order Date]],"yyyy")</f>
        <v>2026</v>
      </c>
      <c r="L245" t="str">
        <f>TEXT(Sales_Data[[#This Row],[Order Date]],"mmmm")</f>
        <v>December</v>
      </c>
      <c r="M245" s="1">
        <v>46370</v>
      </c>
      <c r="N245" s="1">
        <v>38128</v>
      </c>
      <c r="O245">
        <f>DATEDIF(Sales_Data[[#This Row],[Date of Birth]],Sales_Data[[#This Row],[Order Date]],"y")</f>
        <v>22</v>
      </c>
      <c r="P245" t="str" cm="1">
        <f t="array" ref="P245">_xlfn.IFS(Sales_Data[[#This Row],[Age ]]&lt;=30,"Young Adult",Sales_Data[[#This Row],[Age ]]&lt;=45,"Senior",Sales_Data[[#This Row],[Age ]]&lt;=60,"Adult",Sales_Data[[#This Row],[Age ]]&gt;=61,"Elderly")</f>
        <v>Young Adult</v>
      </c>
    </row>
    <row r="246" spans="1:16" x14ac:dyDescent="0.3">
      <c r="A246" t="s">
        <v>295</v>
      </c>
      <c r="B246" t="s">
        <v>11</v>
      </c>
      <c r="C246" t="s">
        <v>55</v>
      </c>
      <c r="D246" t="s">
        <v>30</v>
      </c>
      <c r="E246" t="s">
        <v>61</v>
      </c>
      <c r="F246">
        <v>31</v>
      </c>
      <c r="G246" s="2">
        <v>296</v>
      </c>
      <c r="H246" s="2">
        <v>9176</v>
      </c>
      <c r="I246" t="s">
        <v>15</v>
      </c>
      <c r="J246" t="s">
        <v>16</v>
      </c>
      <c r="K246" t="str">
        <f>TEXT(Sales_Data[[#This Row],[Order Date]],"yyyy")</f>
        <v>2026</v>
      </c>
      <c r="L246" t="str">
        <f>TEXT(Sales_Data[[#This Row],[Order Date]],"mmmm")</f>
        <v>April</v>
      </c>
      <c r="M246" s="1">
        <v>46122</v>
      </c>
      <c r="N246" s="1">
        <v>33038</v>
      </c>
      <c r="O246">
        <f>DATEDIF(Sales_Data[[#This Row],[Date of Birth]],Sales_Data[[#This Row],[Order Date]],"y")</f>
        <v>35</v>
      </c>
      <c r="P246" t="str" cm="1">
        <f t="array" ref="P246">_xlfn.IFS(Sales_Data[[#This Row],[Age ]]&lt;=30,"Young Adult",Sales_Data[[#This Row],[Age ]]&lt;=45,"Senior",Sales_Data[[#This Row],[Age ]]&lt;=60,"Adult",Sales_Data[[#This Row],[Age ]]&gt;=61,"Elderly")</f>
        <v>Senior</v>
      </c>
    </row>
    <row r="247" spans="1:16" x14ac:dyDescent="0.3">
      <c r="A247" t="s">
        <v>296</v>
      </c>
      <c r="B247" t="s">
        <v>11</v>
      </c>
      <c r="C247" t="s">
        <v>46</v>
      </c>
      <c r="D247" t="s">
        <v>20</v>
      </c>
      <c r="E247" t="s">
        <v>104</v>
      </c>
      <c r="F247">
        <v>36</v>
      </c>
      <c r="G247" s="2">
        <v>1165</v>
      </c>
      <c r="H247" s="2">
        <v>41940</v>
      </c>
      <c r="I247" t="s">
        <v>15</v>
      </c>
      <c r="J247" t="s">
        <v>34</v>
      </c>
      <c r="K247" t="str">
        <f>TEXT(Sales_Data[[#This Row],[Order Date]],"yyyy")</f>
        <v>2026</v>
      </c>
      <c r="L247" t="str">
        <f>TEXT(Sales_Data[[#This Row],[Order Date]],"mmmm")</f>
        <v>March</v>
      </c>
      <c r="M247" s="1">
        <v>46094</v>
      </c>
      <c r="N247" s="1">
        <v>25033</v>
      </c>
      <c r="O247">
        <f>DATEDIF(Sales_Data[[#This Row],[Date of Birth]],Sales_Data[[#This Row],[Order Date]],"y")</f>
        <v>57</v>
      </c>
      <c r="P247" t="str" cm="1">
        <f t="array" ref="P247">_xlfn.IFS(Sales_Data[[#This Row],[Age ]]&lt;=30,"Young Adult",Sales_Data[[#This Row],[Age ]]&lt;=45,"Senior",Sales_Data[[#This Row],[Age ]]&lt;=60,"Adult",Sales_Data[[#This Row],[Age ]]&gt;=61,"Elderly")</f>
        <v>Adult</v>
      </c>
    </row>
    <row r="248" spans="1:16" x14ac:dyDescent="0.3">
      <c r="A248" t="s">
        <v>297</v>
      </c>
      <c r="B248" t="s">
        <v>11</v>
      </c>
      <c r="C248" t="s">
        <v>69</v>
      </c>
      <c r="D248" t="s">
        <v>13</v>
      </c>
      <c r="E248" t="s">
        <v>63</v>
      </c>
      <c r="F248">
        <v>24</v>
      </c>
      <c r="G248" s="2">
        <v>289</v>
      </c>
      <c r="H248" s="2">
        <v>6936</v>
      </c>
      <c r="I248" t="s">
        <v>22</v>
      </c>
      <c r="J248" t="s">
        <v>34</v>
      </c>
      <c r="K248" t="str">
        <f>TEXT(Sales_Data[[#This Row],[Order Date]],"yyyy")</f>
        <v>2026</v>
      </c>
      <c r="L248" t="str">
        <f>TEXT(Sales_Data[[#This Row],[Order Date]],"mmmm")</f>
        <v>September</v>
      </c>
      <c r="M248" s="1">
        <v>46289</v>
      </c>
      <c r="N248" s="1">
        <v>25146</v>
      </c>
      <c r="O248">
        <f>DATEDIF(Sales_Data[[#This Row],[Date of Birth]],Sales_Data[[#This Row],[Order Date]],"y")</f>
        <v>57</v>
      </c>
      <c r="P248" t="str" cm="1">
        <f t="array" ref="P248">_xlfn.IFS(Sales_Data[[#This Row],[Age ]]&lt;=30,"Young Adult",Sales_Data[[#This Row],[Age ]]&lt;=45,"Senior",Sales_Data[[#This Row],[Age ]]&lt;=60,"Adult",Sales_Data[[#This Row],[Age ]]&gt;=61,"Elderly")</f>
        <v>Adult</v>
      </c>
    </row>
    <row r="249" spans="1:16" x14ac:dyDescent="0.3">
      <c r="A249" t="s">
        <v>298</v>
      </c>
      <c r="B249" t="s">
        <v>29</v>
      </c>
      <c r="C249" t="s">
        <v>46</v>
      </c>
      <c r="D249" t="s">
        <v>13</v>
      </c>
      <c r="E249" t="s">
        <v>14</v>
      </c>
      <c r="F249">
        <v>13</v>
      </c>
      <c r="G249" s="2">
        <v>544</v>
      </c>
      <c r="H249" s="2">
        <v>7072</v>
      </c>
      <c r="I249" t="s">
        <v>15</v>
      </c>
      <c r="J249" t="s">
        <v>23</v>
      </c>
      <c r="K249" t="str">
        <f>TEXT(Sales_Data[[#This Row],[Order Date]],"yyyy")</f>
        <v>2026</v>
      </c>
      <c r="L249" t="str">
        <f>TEXT(Sales_Data[[#This Row],[Order Date]],"mmmm")</f>
        <v>August</v>
      </c>
      <c r="M249" s="1">
        <v>46241</v>
      </c>
      <c r="N249" s="1">
        <v>35734</v>
      </c>
      <c r="O249">
        <f>DATEDIF(Sales_Data[[#This Row],[Date of Birth]],Sales_Data[[#This Row],[Order Date]],"y")</f>
        <v>28</v>
      </c>
      <c r="P249" t="str" cm="1">
        <f t="array" ref="P249">_xlfn.IFS(Sales_Data[[#This Row],[Age ]]&lt;=30,"Young Adult",Sales_Data[[#This Row],[Age ]]&lt;=45,"Senior",Sales_Data[[#This Row],[Age ]]&lt;=60,"Adult",Sales_Data[[#This Row],[Age ]]&gt;=61,"Elderly")</f>
        <v>Young Adult</v>
      </c>
    </row>
    <row r="250" spans="1:16" x14ac:dyDescent="0.3">
      <c r="A250" t="s">
        <v>299</v>
      </c>
      <c r="B250" t="s">
        <v>11</v>
      </c>
      <c r="C250" t="s">
        <v>42</v>
      </c>
      <c r="D250" t="s">
        <v>30</v>
      </c>
      <c r="E250" t="s">
        <v>57</v>
      </c>
      <c r="F250">
        <v>48</v>
      </c>
      <c r="G250" s="2">
        <v>540</v>
      </c>
      <c r="H250" s="2">
        <v>25920</v>
      </c>
      <c r="I250" t="s">
        <v>15</v>
      </c>
      <c r="J250" t="s">
        <v>16</v>
      </c>
      <c r="K250" t="str">
        <f>TEXT(Sales_Data[[#This Row],[Order Date]],"yyyy")</f>
        <v>2026</v>
      </c>
      <c r="L250" t="str">
        <f>TEXT(Sales_Data[[#This Row],[Order Date]],"mmmm")</f>
        <v>April</v>
      </c>
      <c r="M250" s="1">
        <v>46135</v>
      </c>
      <c r="N250" s="1">
        <v>31705</v>
      </c>
      <c r="O250">
        <f>DATEDIF(Sales_Data[[#This Row],[Date of Birth]],Sales_Data[[#This Row],[Order Date]],"y")</f>
        <v>39</v>
      </c>
      <c r="P250" t="str" cm="1">
        <f t="array" ref="P250">_xlfn.IFS(Sales_Data[[#This Row],[Age ]]&lt;=30,"Young Adult",Sales_Data[[#This Row],[Age ]]&lt;=45,"Senior",Sales_Data[[#This Row],[Age ]]&lt;=60,"Adult",Sales_Data[[#This Row],[Age ]]&gt;=61,"Elderly")</f>
        <v>Senior</v>
      </c>
    </row>
    <row r="251" spans="1:16" x14ac:dyDescent="0.3">
      <c r="A251" t="s">
        <v>300</v>
      </c>
      <c r="B251" t="s">
        <v>29</v>
      </c>
      <c r="C251" t="s">
        <v>46</v>
      </c>
      <c r="D251" t="s">
        <v>66</v>
      </c>
      <c r="E251" t="s">
        <v>77</v>
      </c>
      <c r="F251">
        <v>25</v>
      </c>
      <c r="G251" s="2">
        <v>31</v>
      </c>
      <c r="H251" s="2">
        <v>775</v>
      </c>
      <c r="I251" t="s">
        <v>22</v>
      </c>
      <c r="J251" t="s">
        <v>34</v>
      </c>
      <c r="K251" t="str">
        <f>TEXT(Sales_Data[[#This Row],[Order Date]],"yyyy")</f>
        <v>2026</v>
      </c>
      <c r="L251" t="str">
        <f>TEXT(Sales_Data[[#This Row],[Order Date]],"mmmm")</f>
        <v>September</v>
      </c>
      <c r="M251" s="1">
        <v>46286</v>
      </c>
      <c r="N251" s="1">
        <v>37112</v>
      </c>
      <c r="O251">
        <f>DATEDIF(Sales_Data[[#This Row],[Date of Birth]],Sales_Data[[#This Row],[Order Date]],"y")</f>
        <v>25</v>
      </c>
      <c r="P251" t="str" cm="1">
        <f t="array" ref="P251">_xlfn.IFS(Sales_Data[[#This Row],[Age ]]&lt;=30,"Young Adult",Sales_Data[[#This Row],[Age ]]&lt;=45,"Senior",Sales_Data[[#This Row],[Age ]]&lt;=60,"Adult",Sales_Data[[#This Row],[Age ]]&gt;=61,"Elderly")</f>
        <v>Young Adult</v>
      </c>
    </row>
    <row r="252" spans="1:16" x14ac:dyDescent="0.3">
      <c r="A252" t="s">
        <v>301</v>
      </c>
      <c r="B252" t="s">
        <v>29</v>
      </c>
      <c r="C252" t="s">
        <v>26</v>
      </c>
      <c r="D252" t="s">
        <v>20</v>
      </c>
      <c r="E252" t="s">
        <v>104</v>
      </c>
      <c r="F252">
        <v>7</v>
      </c>
      <c r="G252" s="2">
        <v>1041</v>
      </c>
      <c r="H252" s="2">
        <v>7287</v>
      </c>
      <c r="I252" t="s">
        <v>22</v>
      </c>
      <c r="J252" t="s">
        <v>23</v>
      </c>
      <c r="K252" t="str">
        <f>TEXT(Sales_Data[[#This Row],[Order Date]],"yyyy")</f>
        <v>2026</v>
      </c>
      <c r="L252" t="str">
        <f>TEXT(Sales_Data[[#This Row],[Order Date]],"mmmm")</f>
        <v>June</v>
      </c>
      <c r="M252" s="1">
        <v>46180</v>
      </c>
      <c r="N252" s="1">
        <v>24876</v>
      </c>
      <c r="O252">
        <f>DATEDIF(Sales_Data[[#This Row],[Date of Birth]],Sales_Data[[#This Row],[Order Date]],"y")</f>
        <v>58</v>
      </c>
      <c r="P252" t="str" cm="1">
        <f t="array" ref="P252">_xlfn.IFS(Sales_Data[[#This Row],[Age ]]&lt;=30,"Young Adult",Sales_Data[[#This Row],[Age ]]&lt;=45,"Senior",Sales_Data[[#This Row],[Age ]]&lt;=60,"Adult",Sales_Data[[#This Row],[Age ]]&gt;=61,"Elderly")</f>
        <v>Adult</v>
      </c>
    </row>
    <row r="253" spans="1:16" x14ac:dyDescent="0.3">
      <c r="A253" t="s">
        <v>302</v>
      </c>
      <c r="B253" t="s">
        <v>25</v>
      </c>
      <c r="C253" t="s">
        <v>46</v>
      </c>
      <c r="D253" t="s">
        <v>30</v>
      </c>
      <c r="E253" t="s">
        <v>38</v>
      </c>
      <c r="F253">
        <v>2</v>
      </c>
      <c r="G253" s="2">
        <v>317</v>
      </c>
      <c r="H253" s="2">
        <v>634</v>
      </c>
      <c r="I253" t="s">
        <v>15</v>
      </c>
      <c r="J253" t="s">
        <v>23</v>
      </c>
      <c r="K253" t="str">
        <f>TEXT(Sales_Data[[#This Row],[Order Date]],"yyyy")</f>
        <v>2026</v>
      </c>
      <c r="L253" t="str">
        <f>TEXT(Sales_Data[[#This Row],[Order Date]],"mmmm")</f>
        <v>September</v>
      </c>
      <c r="M253" s="1">
        <v>46284</v>
      </c>
      <c r="N253" s="1">
        <v>36204</v>
      </c>
      <c r="O253">
        <f>DATEDIF(Sales_Data[[#This Row],[Date of Birth]],Sales_Data[[#This Row],[Order Date]],"y")</f>
        <v>27</v>
      </c>
      <c r="P253" t="str" cm="1">
        <f t="array" ref="P253">_xlfn.IFS(Sales_Data[[#This Row],[Age ]]&lt;=30,"Young Adult",Sales_Data[[#This Row],[Age ]]&lt;=45,"Senior",Sales_Data[[#This Row],[Age ]]&lt;=60,"Adult",Sales_Data[[#This Row],[Age ]]&gt;=61,"Elderly")</f>
        <v>Young Adult</v>
      </c>
    </row>
    <row r="254" spans="1:16" x14ac:dyDescent="0.3">
      <c r="A254" t="s">
        <v>303</v>
      </c>
      <c r="B254" t="s">
        <v>29</v>
      </c>
      <c r="C254" t="s">
        <v>46</v>
      </c>
      <c r="D254" t="s">
        <v>66</v>
      </c>
      <c r="E254" t="s">
        <v>83</v>
      </c>
      <c r="F254">
        <v>25</v>
      </c>
      <c r="G254" s="2">
        <v>38</v>
      </c>
      <c r="H254" s="2">
        <v>950</v>
      </c>
      <c r="I254" t="s">
        <v>22</v>
      </c>
      <c r="J254" t="s">
        <v>16</v>
      </c>
      <c r="K254" t="str">
        <f>TEXT(Sales_Data[[#This Row],[Order Date]],"yyyy")</f>
        <v>2026</v>
      </c>
      <c r="L254" t="str">
        <f>TEXT(Sales_Data[[#This Row],[Order Date]],"mmmm")</f>
        <v>April</v>
      </c>
      <c r="M254" s="1">
        <v>46128</v>
      </c>
      <c r="N254" s="1">
        <v>32470</v>
      </c>
      <c r="O254">
        <f>DATEDIF(Sales_Data[[#This Row],[Date of Birth]],Sales_Data[[#This Row],[Order Date]],"y")</f>
        <v>37</v>
      </c>
      <c r="P254" t="str" cm="1">
        <f t="array" ref="P254">_xlfn.IFS(Sales_Data[[#This Row],[Age ]]&lt;=30,"Young Adult",Sales_Data[[#This Row],[Age ]]&lt;=45,"Senior",Sales_Data[[#This Row],[Age ]]&lt;=60,"Adult",Sales_Data[[#This Row],[Age ]]&gt;=61,"Elderly")</f>
        <v>Senior</v>
      </c>
    </row>
    <row r="255" spans="1:16" x14ac:dyDescent="0.3">
      <c r="A255" t="s">
        <v>304</v>
      </c>
      <c r="B255" t="s">
        <v>25</v>
      </c>
      <c r="C255" t="s">
        <v>65</v>
      </c>
      <c r="D255" t="s">
        <v>20</v>
      </c>
      <c r="E255" t="s">
        <v>104</v>
      </c>
      <c r="F255">
        <v>11</v>
      </c>
      <c r="G255" s="2">
        <v>801</v>
      </c>
      <c r="H255" s="2">
        <v>8811</v>
      </c>
      <c r="I255" t="s">
        <v>15</v>
      </c>
      <c r="J255" t="s">
        <v>16</v>
      </c>
      <c r="K255" t="str">
        <f>TEXT(Sales_Data[[#This Row],[Order Date]],"yyyy")</f>
        <v>2026</v>
      </c>
      <c r="L255" t="str">
        <f>TEXT(Sales_Data[[#This Row],[Order Date]],"mmmm")</f>
        <v>March</v>
      </c>
      <c r="M255" s="1">
        <v>46086</v>
      </c>
      <c r="N255" s="1">
        <v>36290</v>
      </c>
      <c r="O255">
        <f>DATEDIF(Sales_Data[[#This Row],[Date of Birth]],Sales_Data[[#This Row],[Order Date]],"y")</f>
        <v>26</v>
      </c>
      <c r="P255" t="str" cm="1">
        <f t="array" ref="P255">_xlfn.IFS(Sales_Data[[#This Row],[Age ]]&lt;=30,"Young Adult",Sales_Data[[#This Row],[Age ]]&lt;=45,"Senior",Sales_Data[[#This Row],[Age ]]&lt;=60,"Adult",Sales_Data[[#This Row],[Age ]]&gt;=61,"Elderly")</f>
        <v>Young Adult</v>
      </c>
    </row>
    <row r="256" spans="1:16" x14ac:dyDescent="0.3">
      <c r="A256" t="s">
        <v>305</v>
      </c>
      <c r="B256" t="s">
        <v>11</v>
      </c>
      <c r="C256" t="s">
        <v>19</v>
      </c>
      <c r="D256" t="s">
        <v>13</v>
      </c>
      <c r="E256" t="s">
        <v>14</v>
      </c>
      <c r="F256">
        <v>43</v>
      </c>
      <c r="G256" s="2">
        <v>199</v>
      </c>
      <c r="H256" s="2">
        <v>8557</v>
      </c>
      <c r="I256" t="s">
        <v>15</v>
      </c>
      <c r="J256" t="s">
        <v>16</v>
      </c>
      <c r="K256" t="str">
        <f>TEXT(Sales_Data[[#This Row],[Order Date]],"yyyy")</f>
        <v>2026</v>
      </c>
      <c r="L256" t="str">
        <f>TEXT(Sales_Data[[#This Row],[Order Date]],"mmmm")</f>
        <v>January</v>
      </c>
      <c r="M256" s="1">
        <v>46036</v>
      </c>
      <c r="N256" s="1">
        <v>25803</v>
      </c>
      <c r="O256">
        <f>DATEDIF(Sales_Data[[#This Row],[Date of Birth]],Sales_Data[[#This Row],[Order Date]],"y")</f>
        <v>55</v>
      </c>
      <c r="P256" t="str" cm="1">
        <f t="array" ref="P256">_xlfn.IFS(Sales_Data[[#This Row],[Age ]]&lt;=30,"Young Adult",Sales_Data[[#This Row],[Age ]]&lt;=45,"Senior",Sales_Data[[#This Row],[Age ]]&lt;=60,"Adult",Sales_Data[[#This Row],[Age ]]&gt;=61,"Elderly")</f>
        <v>Adult</v>
      </c>
    </row>
    <row r="257" spans="1:16" x14ac:dyDescent="0.3">
      <c r="A257" t="s">
        <v>306</v>
      </c>
      <c r="B257" t="s">
        <v>18</v>
      </c>
      <c r="C257" t="s">
        <v>55</v>
      </c>
      <c r="D257" t="s">
        <v>30</v>
      </c>
      <c r="E257" t="s">
        <v>57</v>
      </c>
      <c r="F257">
        <v>14</v>
      </c>
      <c r="G257" s="2">
        <v>567</v>
      </c>
      <c r="H257" s="2">
        <v>7938</v>
      </c>
      <c r="I257" t="s">
        <v>22</v>
      </c>
      <c r="J257" t="s">
        <v>23</v>
      </c>
      <c r="K257" t="str">
        <f>TEXT(Sales_Data[[#This Row],[Order Date]],"yyyy")</f>
        <v>2026</v>
      </c>
      <c r="L257" t="str">
        <f>TEXT(Sales_Data[[#This Row],[Order Date]],"mmmm")</f>
        <v>August</v>
      </c>
      <c r="M257" s="1">
        <v>46246</v>
      </c>
      <c r="N257" s="1">
        <v>25846</v>
      </c>
      <c r="O257">
        <f>DATEDIF(Sales_Data[[#This Row],[Date of Birth]],Sales_Data[[#This Row],[Order Date]],"y")</f>
        <v>55</v>
      </c>
      <c r="P257" t="str" cm="1">
        <f t="array" ref="P257">_xlfn.IFS(Sales_Data[[#This Row],[Age ]]&lt;=30,"Young Adult",Sales_Data[[#This Row],[Age ]]&lt;=45,"Senior",Sales_Data[[#This Row],[Age ]]&lt;=60,"Adult",Sales_Data[[#This Row],[Age ]]&gt;=61,"Elderly")</f>
        <v>Adult</v>
      </c>
    </row>
    <row r="258" spans="1:16" x14ac:dyDescent="0.3">
      <c r="A258" t="s">
        <v>307</v>
      </c>
      <c r="B258" t="s">
        <v>29</v>
      </c>
      <c r="C258" t="s">
        <v>46</v>
      </c>
      <c r="D258" t="s">
        <v>13</v>
      </c>
      <c r="E258" t="s">
        <v>49</v>
      </c>
      <c r="F258">
        <v>36</v>
      </c>
      <c r="G258" s="2">
        <v>942</v>
      </c>
      <c r="H258" s="2">
        <v>33912</v>
      </c>
      <c r="I258" t="s">
        <v>15</v>
      </c>
      <c r="J258" t="s">
        <v>16</v>
      </c>
      <c r="K258" t="str">
        <f>TEXT(Sales_Data[[#This Row],[Order Date]],"yyyy")</f>
        <v>2026</v>
      </c>
      <c r="L258" t="str">
        <f>TEXT(Sales_Data[[#This Row],[Order Date]],"mmmm")</f>
        <v>January</v>
      </c>
      <c r="M258" s="1">
        <v>46023</v>
      </c>
      <c r="N258" s="1">
        <v>34552</v>
      </c>
      <c r="O258">
        <f>DATEDIF(Sales_Data[[#This Row],[Date of Birth]],Sales_Data[[#This Row],[Order Date]],"y")</f>
        <v>31</v>
      </c>
      <c r="P258" t="str" cm="1">
        <f t="array" ref="P258">_xlfn.IFS(Sales_Data[[#This Row],[Age ]]&lt;=30,"Young Adult",Sales_Data[[#This Row],[Age ]]&lt;=45,"Senior",Sales_Data[[#This Row],[Age ]]&lt;=60,"Adult",Sales_Data[[#This Row],[Age ]]&gt;=61,"Elderly")</f>
        <v>Senior</v>
      </c>
    </row>
    <row r="259" spans="1:16" x14ac:dyDescent="0.3">
      <c r="A259" t="s">
        <v>308</v>
      </c>
      <c r="B259" t="s">
        <v>11</v>
      </c>
      <c r="C259" t="s">
        <v>19</v>
      </c>
      <c r="D259" t="s">
        <v>20</v>
      </c>
      <c r="E259" t="s">
        <v>43</v>
      </c>
      <c r="F259">
        <v>7</v>
      </c>
      <c r="G259" s="2">
        <v>277</v>
      </c>
      <c r="H259" s="2">
        <v>1939</v>
      </c>
      <c r="I259" t="s">
        <v>22</v>
      </c>
      <c r="J259" t="s">
        <v>34</v>
      </c>
      <c r="K259" t="str">
        <f>TEXT(Sales_Data[[#This Row],[Order Date]],"yyyy")</f>
        <v>2026</v>
      </c>
      <c r="L259" t="str">
        <f>TEXT(Sales_Data[[#This Row],[Order Date]],"mmmm")</f>
        <v>September</v>
      </c>
      <c r="M259" s="1">
        <v>46270</v>
      </c>
      <c r="N259" s="1">
        <v>31530</v>
      </c>
      <c r="O259">
        <f>DATEDIF(Sales_Data[[#This Row],[Date of Birth]],Sales_Data[[#This Row],[Order Date]],"y")</f>
        <v>40</v>
      </c>
      <c r="P259" t="str" cm="1">
        <f t="array" ref="P259">_xlfn.IFS(Sales_Data[[#This Row],[Age ]]&lt;=30,"Young Adult",Sales_Data[[#This Row],[Age ]]&lt;=45,"Senior",Sales_Data[[#This Row],[Age ]]&lt;=60,"Adult",Sales_Data[[#This Row],[Age ]]&gt;=61,"Elderly")</f>
        <v>Senior</v>
      </c>
    </row>
    <row r="260" spans="1:16" x14ac:dyDescent="0.3">
      <c r="A260" t="s">
        <v>309</v>
      </c>
      <c r="B260" t="s">
        <v>11</v>
      </c>
      <c r="C260" t="s">
        <v>19</v>
      </c>
      <c r="D260" t="s">
        <v>66</v>
      </c>
      <c r="E260" t="s">
        <v>70</v>
      </c>
      <c r="F260">
        <v>6</v>
      </c>
      <c r="G260" s="2">
        <v>25</v>
      </c>
      <c r="H260" s="2">
        <v>150</v>
      </c>
      <c r="I260" t="s">
        <v>22</v>
      </c>
      <c r="J260" t="s">
        <v>16</v>
      </c>
      <c r="K260" t="str">
        <f>TEXT(Sales_Data[[#This Row],[Order Date]],"yyyy")</f>
        <v>2026</v>
      </c>
      <c r="L260" t="str">
        <f>TEXT(Sales_Data[[#This Row],[Order Date]],"mmmm")</f>
        <v>July</v>
      </c>
      <c r="M260" s="1">
        <v>46218</v>
      </c>
      <c r="N260" s="1">
        <v>32750</v>
      </c>
      <c r="O260">
        <f>DATEDIF(Sales_Data[[#This Row],[Date of Birth]],Sales_Data[[#This Row],[Order Date]],"y")</f>
        <v>36</v>
      </c>
      <c r="P260" t="str" cm="1">
        <f t="array" ref="P260">_xlfn.IFS(Sales_Data[[#This Row],[Age ]]&lt;=30,"Young Adult",Sales_Data[[#This Row],[Age ]]&lt;=45,"Senior",Sales_Data[[#This Row],[Age ]]&lt;=60,"Adult",Sales_Data[[#This Row],[Age ]]&gt;=61,"Elderly")</f>
        <v>Senior</v>
      </c>
    </row>
    <row r="261" spans="1:16" x14ac:dyDescent="0.3">
      <c r="A261" t="s">
        <v>310</v>
      </c>
      <c r="B261" t="s">
        <v>25</v>
      </c>
      <c r="C261" t="s">
        <v>69</v>
      </c>
      <c r="D261" t="s">
        <v>13</v>
      </c>
      <c r="E261" t="s">
        <v>14</v>
      </c>
      <c r="F261">
        <v>6</v>
      </c>
      <c r="G261" s="2">
        <v>930</v>
      </c>
      <c r="H261" s="2">
        <v>5580</v>
      </c>
      <c r="I261" t="s">
        <v>15</v>
      </c>
      <c r="J261" t="s">
        <v>16</v>
      </c>
      <c r="K261" t="str">
        <f>TEXT(Sales_Data[[#This Row],[Order Date]],"yyyy")</f>
        <v>2026</v>
      </c>
      <c r="L261" t="str">
        <f>TEXT(Sales_Data[[#This Row],[Order Date]],"mmmm")</f>
        <v>July</v>
      </c>
      <c r="M261" s="1">
        <v>46216</v>
      </c>
      <c r="N261" s="1">
        <v>26448</v>
      </c>
      <c r="O261">
        <f>DATEDIF(Sales_Data[[#This Row],[Date of Birth]],Sales_Data[[#This Row],[Order Date]],"y")</f>
        <v>54</v>
      </c>
      <c r="P261" t="str" cm="1">
        <f t="array" ref="P261">_xlfn.IFS(Sales_Data[[#This Row],[Age ]]&lt;=30,"Young Adult",Sales_Data[[#This Row],[Age ]]&lt;=45,"Senior",Sales_Data[[#This Row],[Age ]]&lt;=60,"Adult",Sales_Data[[#This Row],[Age ]]&gt;=61,"Elderly")</f>
        <v>Adult</v>
      </c>
    </row>
    <row r="262" spans="1:16" x14ac:dyDescent="0.3">
      <c r="A262" t="s">
        <v>311</v>
      </c>
      <c r="B262" t="s">
        <v>29</v>
      </c>
      <c r="C262" t="s">
        <v>12</v>
      </c>
      <c r="D262" t="s">
        <v>30</v>
      </c>
      <c r="E262" t="s">
        <v>57</v>
      </c>
      <c r="F262">
        <v>32</v>
      </c>
      <c r="G262" s="2">
        <v>494</v>
      </c>
      <c r="H262" s="2">
        <v>15808</v>
      </c>
      <c r="I262" t="s">
        <v>15</v>
      </c>
      <c r="J262" t="s">
        <v>23</v>
      </c>
      <c r="K262" t="str">
        <f>TEXT(Sales_Data[[#This Row],[Order Date]],"yyyy")</f>
        <v>2026</v>
      </c>
      <c r="L262" t="str">
        <f>TEXT(Sales_Data[[#This Row],[Order Date]],"mmmm")</f>
        <v>November</v>
      </c>
      <c r="M262" s="1">
        <v>46352</v>
      </c>
      <c r="N262" s="1">
        <v>28085</v>
      </c>
      <c r="O262">
        <f>DATEDIF(Sales_Data[[#This Row],[Date of Birth]],Sales_Data[[#This Row],[Order Date]],"y")</f>
        <v>50</v>
      </c>
      <c r="P262" t="str" cm="1">
        <f t="array" ref="P262">_xlfn.IFS(Sales_Data[[#This Row],[Age ]]&lt;=30,"Young Adult",Sales_Data[[#This Row],[Age ]]&lt;=45,"Senior",Sales_Data[[#This Row],[Age ]]&lt;=60,"Adult",Sales_Data[[#This Row],[Age ]]&gt;=61,"Elderly")</f>
        <v>Adult</v>
      </c>
    </row>
    <row r="263" spans="1:16" x14ac:dyDescent="0.3">
      <c r="A263" t="s">
        <v>312</v>
      </c>
      <c r="B263" t="s">
        <v>29</v>
      </c>
      <c r="C263" t="s">
        <v>69</v>
      </c>
      <c r="D263" t="s">
        <v>30</v>
      </c>
      <c r="E263" t="s">
        <v>61</v>
      </c>
      <c r="F263">
        <v>31</v>
      </c>
      <c r="G263" s="2">
        <v>327</v>
      </c>
      <c r="H263" s="2">
        <v>10137</v>
      </c>
      <c r="I263" t="s">
        <v>15</v>
      </c>
      <c r="J263" t="s">
        <v>34</v>
      </c>
      <c r="K263" t="str">
        <f>TEXT(Sales_Data[[#This Row],[Order Date]],"yyyy")</f>
        <v>2026</v>
      </c>
      <c r="L263" t="str">
        <f>TEXT(Sales_Data[[#This Row],[Order Date]],"mmmm")</f>
        <v>January</v>
      </c>
      <c r="M263" s="1">
        <v>46025</v>
      </c>
      <c r="N263" s="1">
        <v>32388</v>
      </c>
      <c r="O263">
        <f>DATEDIF(Sales_Data[[#This Row],[Date of Birth]],Sales_Data[[#This Row],[Order Date]],"y")</f>
        <v>37</v>
      </c>
      <c r="P263" t="str" cm="1">
        <f t="array" ref="P263">_xlfn.IFS(Sales_Data[[#This Row],[Age ]]&lt;=30,"Young Adult",Sales_Data[[#This Row],[Age ]]&lt;=45,"Senior",Sales_Data[[#This Row],[Age ]]&lt;=60,"Adult",Sales_Data[[#This Row],[Age ]]&gt;=61,"Elderly")</f>
        <v>Senior</v>
      </c>
    </row>
    <row r="264" spans="1:16" x14ac:dyDescent="0.3">
      <c r="A264" t="s">
        <v>313</v>
      </c>
      <c r="B264" t="s">
        <v>25</v>
      </c>
      <c r="C264" t="s">
        <v>12</v>
      </c>
      <c r="D264" t="s">
        <v>13</v>
      </c>
      <c r="E264" t="s">
        <v>59</v>
      </c>
      <c r="F264">
        <v>38</v>
      </c>
      <c r="G264" s="2">
        <v>395</v>
      </c>
      <c r="H264" s="2">
        <v>15010</v>
      </c>
      <c r="I264" t="s">
        <v>22</v>
      </c>
      <c r="J264" t="s">
        <v>23</v>
      </c>
      <c r="K264" t="str">
        <f>TEXT(Sales_Data[[#This Row],[Order Date]],"yyyy")</f>
        <v>2026</v>
      </c>
      <c r="L264" t="str">
        <f>TEXT(Sales_Data[[#This Row],[Order Date]],"mmmm")</f>
        <v>December</v>
      </c>
      <c r="M264" s="1">
        <v>46383</v>
      </c>
      <c r="N264" s="1">
        <v>38036</v>
      </c>
      <c r="O264">
        <f>DATEDIF(Sales_Data[[#This Row],[Date of Birth]],Sales_Data[[#This Row],[Order Date]],"y")</f>
        <v>22</v>
      </c>
      <c r="P264" t="str" cm="1">
        <f t="array" ref="P264">_xlfn.IFS(Sales_Data[[#This Row],[Age ]]&lt;=30,"Young Adult",Sales_Data[[#This Row],[Age ]]&lt;=45,"Senior",Sales_Data[[#This Row],[Age ]]&lt;=60,"Adult",Sales_Data[[#This Row],[Age ]]&gt;=61,"Elderly")</f>
        <v>Young Adult</v>
      </c>
    </row>
    <row r="265" spans="1:16" x14ac:dyDescent="0.3">
      <c r="A265" t="s">
        <v>314</v>
      </c>
      <c r="B265" t="s">
        <v>25</v>
      </c>
      <c r="C265" t="s">
        <v>65</v>
      </c>
      <c r="D265" t="s">
        <v>30</v>
      </c>
      <c r="E265" t="s">
        <v>61</v>
      </c>
      <c r="F265">
        <v>25</v>
      </c>
      <c r="G265" s="2">
        <v>743</v>
      </c>
      <c r="H265" s="2">
        <v>18575</v>
      </c>
      <c r="I265" t="s">
        <v>15</v>
      </c>
      <c r="J265" t="s">
        <v>16</v>
      </c>
      <c r="K265" t="str">
        <f>TEXT(Sales_Data[[#This Row],[Order Date]],"yyyy")</f>
        <v>2026</v>
      </c>
      <c r="L265" t="str">
        <f>TEXT(Sales_Data[[#This Row],[Order Date]],"mmmm")</f>
        <v>September</v>
      </c>
      <c r="M265" s="1">
        <v>46276</v>
      </c>
      <c r="N265" s="1">
        <v>33681</v>
      </c>
      <c r="O265">
        <f>DATEDIF(Sales_Data[[#This Row],[Date of Birth]],Sales_Data[[#This Row],[Order Date]],"y")</f>
        <v>34</v>
      </c>
      <c r="P265" t="str" cm="1">
        <f t="array" ref="P265">_xlfn.IFS(Sales_Data[[#This Row],[Age ]]&lt;=30,"Young Adult",Sales_Data[[#This Row],[Age ]]&lt;=45,"Senior",Sales_Data[[#This Row],[Age ]]&lt;=60,"Adult",Sales_Data[[#This Row],[Age ]]&gt;=61,"Elderly")</f>
        <v>Senior</v>
      </c>
    </row>
    <row r="266" spans="1:16" x14ac:dyDescent="0.3">
      <c r="A266" t="s">
        <v>315</v>
      </c>
      <c r="B266" t="s">
        <v>18</v>
      </c>
      <c r="C266" t="s">
        <v>26</v>
      </c>
      <c r="D266" t="s">
        <v>66</v>
      </c>
      <c r="E266" t="s">
        <v>67</v>
      </c>
      <c r="F266">
        <v>7</v>
      </c>
      <c r="G266" s="2">
        <v>29</v>
      </c>
      <c r="H266" s="2">
        <v>203</v>
      </c>
      <c r="I266" t="s">
        <v>22</v>
      </c>
      <c r="J266" t="s">
        <v>34</v>
      </c>
      <c r="K266" t="str">
        <f>TEXT(Sales_Data[[#This Row],[Order Date]],"yyyy")</f>
        <v>2026</v>
      </c>
      <c r="L266" t="str">
        <f>TEXT(Sales_Data[[#This Row],[Order Date]],"mmmm")</f>
        <v>April</v>
      </c>
      <c r="M266" s="1">
        <v>46139</v>
      </c>
      <c r="N266" s="1">
        <v>30675</v>
      </c>
      <c r="O266">
        <f>DATEDIF(Sales_Data[[#This Row],[Date of Birth]],Sales_Data[[#This Row],[Order Date]],"y")</f>
        <v>42</v>
      </c>
      <c r="P266" t="str" cm="1">
        <f t="array" ref="P266">_xlfn.IFS(Sales_Data[[#This Row],[Age ]]&lt;=30,"Young Adult",Sales_Data[[#This Row],[Age ]]&lt;=45,"Senior",Sales_Data[[#This Row],[Age ]]&lt;=60,"Adult",Sales_Data[[#This Row],[Age ]]&gt;=61,"Elderly")</f>
        <v>Senior</v>
      </c>
    </row>
    <row r="267" spans="1:16" x14ac:dyDescent="0.3">
      <c r="A267" t="s">
        <v>316</v>
      </c>
      <c r="B267" t="s">
        <v>25</v>
      </c>
      <c r="C267" t="s">
        <v>42</v>
      </c>
      <c r="D267" t="s">
        <v>13</v>
      </c>
      <c r="E267" t="s">
        <v>40</v>
      </c>
      <c r="F267">
        <v>29</v>
      </c>
      <c r="G267" s="2">
        <v>1104</v>
      </c>
      <c r="H267" s="2">
        <v>32016</v>
      </c>
      <c r="I267" t="s">
        <v>15</v>
      </c>
      <c r="J267" t="s">
        <v>16</v>
      </c>
      <c r="K267" t="str">
        <f>TEXT(Sales_Data[[#This Row],[Order Date]],"yyyy")</f>
        <v>2026</v>
      </c>
      <c r="L267" t="str">
        <f>TEXT(Sales_Data[[#This Row],[Order Date]],"mmmm")</f>
        <v>April</v>
      </c>
      <c r="M267" s="1">
        <v>46124</v>
      </c>
      <c r="N267" s="1">
        <v>27213</v>
      </c>
      <c r="O267">
        <f>DATEDIF(Sales_Data[[#This Row],[Date of Birth]],Sales_Data[[#This Row],[Order Date]],"y")</f>
        <v>51</v>
      </c>
      <c r="P267" t="str" cm="1">
        <f t="array" ref="P267">_xlfn.IFS(Sales_Data[[#This Row],[Age ]]&lt;=30,"Young Adult",Sales_Data[[#This Row],[Age ]]&lt;=45,"Senior",Sales_Data[[#This Row],[Age ]]&lt;=60,"Adult",Sales_Data[[#This Row],[Age ]]&gt;=61,"Elderly")</f>
        <v>Adult</v>
      </c>
    </row>
    <row r="268" spans="1:16" x14ac:dyDescent="0.3">
      <c r="A268" t="s">
        <v>317</v>
      </c>
      <c r="B268" t="s">
        <v>11</v>
      </c>
      <c r="C268" t="s">
        <v>12</v>
      </c>
      <c r="D268" t="s">
        <v>20</v>
      </c>
      <c r="E268" t="s">
        <v>21</v>
      </c>
      <c r="F268">
        <v>50</v>
      </c>
      <c r="G268" s="2">
        <v>1346</v>
      </c>
      <c r="H268" s="2">
        <v>67300</v>
      </c>
      <c r="I268" t="s">
        <v>15</v>
      </c>
      <c r="J268" t="s">
        <v>34</v>
      </c>
      <c r="K268" t="str">
        <f>TEXT(Sales_Data[[#This Row],[Order Date]],"yyyy")</f>
        <v>2026</v>
      </c>
      <c r="L268" t="str">
        <f>TEXT(Sales_Data[[#This Row],[Order Date]],"mmmm")</f>
        <v>May</v>
      </c>
      <c r="M268" s="1">
        <v>46168</v>
      </c>
      <c r="N268" s="1">
        <v>32578</v>
      </c>
      <c r="O268">
        <f>DATEDIF(Sales_Data[[#This Row],[Date of Birth]],Sales_Data[[#This Row],[Order Date]],"y")</f>
        <v>37</v>
      </c>
      <c r="P268" t="str" cm="1">
        <f t="array" ref="P268">_xlfn.IFS(Sales_Data[[#This Row],[Age ]]&lt;=30,"Young Adult",Sales_Data[[#This Row],[Age ]]&lt;=45,"Senior",Sales_Data[[#This Row],[Age ]]&lt;=60,"Adult",Sales_Data[[#This Row],[Age ]]&gt;=61,"Elderly")</f>
        <v>Senior</v>
      </c>
    </row>
    <row r="269" spans="1:16" x14ac:dyDescent="0.3">
      <c r="A269" t="s">
        <v>318</v>
      </c>
      <c r="B269" t="s">
        <v>25</v>
      </c>
      <c r="C269" t="s">
        <v>26</v>
      </c>
      <c r="D269" t="s">
        <v>30</v>
      </c>
      <c r="E269" t="s">
        <v>47</v>
      </c>
      <c r="F269">
        <v>46</v>
      </c>
      <c r="G269" s="2">
        <v>699</v>
      </c>
      <c r="H269" s="2">
        <v>32154</v>
      </c>
      <c r="I269" t="s">
        <v>22</v>
      </c>
      <c r="J269" t="s">
        <v>23</v>
      </c>
      <c r="K269" t="str">
        <f>TEXT(Sales_Data[[#This Row],[Order Date]],"yyyy")</f>
        <v>2026</v>
      </c>
      <c r="L269" t="str">
        <f>TEXT(Sales_Data[[#This Row],[Order Date]],"mmmm")</f>
        <v>March</v>
      </c>
      <c r="M269" s="1">
        <v>46105</v>
      </c>
      <c r="N269" s="1">
        <v>36117</v>
      </c>
      <c r="O269">
        <f>DATEDIF(Sales_Data[[#This Row],[Date of Birth]],Sales_Data[[#This Row],[Order Date]],"y")</f>
        <v>27</v>
      </c>
      <c r="P269" t="str" cm="1">
        <f t="array" ref="P269">_xlfn.IFS(Sales_Data[[#This Row],[Age ]]&lt;=30,"Young Adult",Sales_Data[[#This Row],[Age ]]&lt;=45,"Senior",Sales_Data[[#This Row],[Age ]]&lt;=60,"Adult",Sales_Data[[#This Row],[Age ]]&gt;=61,"Elderly")</f>
        <v>Young Adult</v>
      </c>
    </row>
    <row r="270" spans="1:16" x14ac:dyDescent="0.3">
      <c r="A270" t="s">
        <v>319</v>
      </c>
      <c r="B270" t="s">
        <v>29</v>
      </c>
      <c r="C270" t="s">
        <v>12</v>
      </c>
      <c r="D270" t="s">
        <v>13</v>
      </c>
      <c r="E270" t="s">
        <v>14</v>
      </c>
      <c r="F270">
        <v>20</v>
      </c>
      <c r="G270" s="2">
        <v>1010</v>
      </c>
      <c r="H270" s="2">
        <v>20200</v>
      </c>
      <c r="I270" t="s">
        <v>15</v>
      </c>
      <c r="J270" t="s">
        <v>23</v>
      </c>
      <c r="K270" t="str">
        <f>TEXT(Sales_Data[[#This Row],[Order Date]],"yyyy")</f>
        <v>2026</v>
      </c>
      <c r="L270" t="str">
        <f>TEXT(Sales_Data[[#This Row],[Order Date]],"mmmm")</f>
        <v>June</v>
      </c>
      <c r="M270" s="1">
        <v>46198</v>
      </c>
      <c r="N270" s="1">
        <v>35702</v>
      </c>
      <c r="O270">
        <f>DATEDIF(Sales_Data[[#This Row],[Date of Birth]],Sales_Data[[#This Row],[Order Date]],"y")</f>
        <v>28</v>
      </c>
      <c r="P270" t="str" cm="1">
        <f t="array" ref="P270">_xlfn.IFS(Sales_Data[[#This Row],[Age ]]&lt;=30,"Young Adult",Sales_Data[[#This Row],[Age ]]&lt;=45,"Senior",Sales_Data[[#This Row],[Age ]]&lt;=60,"Adult",Sales_Data[[#This Row],[Age ]]&gt;=61,"Elderly")</f>
        <v>Young Adult</v>
      </c>
    </row>
    <row r="271" spans="1:16" x14ac:dyDescent="0.3">
      <c r="A271" t="s">
        <v>320</v>
      </c>
      <c r="B271" t="s">
        <v>25</v>
      </c>
      <c r="C271" t="s">
        <v>12</v>
      </c>
      <c r="D271" t="s">
        <v>30</v>
      </c>
      <c r="E271" t="s">
        <v>47</v>
      </c>
      <c r="F271">
        <v>29</v>
      </c>
      <c r="G271" s="2">
        <v>620</v>
      </c>
      <c r="H271" s="2">
        <v>17980</v>
      </c>
      <c r="I271" t="s">
        <v>15</v>
      </c>
      <c r="J271" t="s">
        <v>23</v>
      </c>
      <c r="K271" t="str">
        <f>TEXT(Sales_Data[[#This Row],[Order Date]],"yyyy")</f>
        <v>2026</v>
      </c>
      <c r="L271" t="str">
        <f>TEXT(Sales_Data[[#This Row],[Order Date]],"mmmm")</f>
        <v>September</v>
      </c>
      <c r="M271" s="1">
        <v>46282</v>
      </c>
      <c r="N271" s="1">
        <v>35045</v>
      </c>
      <c r="O271">
        <f>DATEDIF(Sales_Data[[#This Row],[Date of Birth]],Sales_Data[[#This Row],[Order Date]],"y")</f>
        <v>30</v>
      </c>
      <c r="P271" t="str" cm="1">
        <f t="array" ref="P271">_xlfn.IFS(Sales_Data[[#This Row],[Age ]]&lt;=30,"Young Adult",Sales_Data[[#This Row],[Age ]]&lt;=45,"Senior",Sales_Data[[#This Row],[Age ]]&lt;=60,"Adult",Sales_Data[[#This Row],[Age ]]&gt;=61,"Elderly")</f>
        <v>Young Adult</v>
      </c>
    </row>
    <row r="272" spans="1:16" x14ac:dyDescent="0.3">
      <c r="A272" t="s">
        <v>321</v>
      </c>
      <c r="B272" t="s">
        <v>29</v>
      </c>
      <c r="C272" t="s">
        <v>42</v>
      </c>
      <c r="D272" t="s">
        <v>66</v>
      </c>
      <c r="E272" t="s">
        <v>92</v>
      </c>
      <c r="F272">
        <v>6</v>
      </c>
      <c r="G272" s="2">
        <v>40</v>
      </c>
      <c r="H272" s="2">
        <v>240</v>
      </c>
      <c r="I272" t="s">
        <v>15</v>
      </c>
      <c r="J272" t="s">
        <v>34</v>
      </c>
      <c r="K272" t="str">
        <f>TEXT(Sales_Data[[#This Row],[Order Date]],"yyyy")</f>
        <v>2026</v>
      </c>
      <c r="L272" t="str">
        <f>TEXT(Sales_Data[[#This Row],[Order Date]],"mmmm")</f>
        <v>October</v>
      </c>
      <c r="M272" s="1">
        <v>46321</v>
      </c>
      <c r="N272" s="1">
        <v>27038</v>
      </c>
      <c r="O272">
        <f>DATEDIF(Sales_Data[[#This Row],[Date of Birth]],Sales_Data[[#This Row],[Order Date]],"y")</f>
        <v>52</v>
      </c>
      <c r="P272" t="str" cm="1">
        <f t="array" ref="P272">_xlfn.IFS(Sales_Data[[#This Row],[Age ]]&lt;=30,"Young Adult",Sales_Data[[#This Row],[Age ]]&lt;=45,"Senior",Sales_Data[[#This Row],[Age ]]&lt;=60,"Adult",Sales_Data[[#This Row],[Age ]]&gt;=61,"Elderly")</f>
        <v>Adult</v>
      </c>
    </row>
    <row r="273" spans="1:16" x14ac:dyDescent="0.3">
      <c r="A273" t="s">
        <v>322</v>
      </c>
      <c r="B273" t="s">
        <v>11</v>
      </c>
      <c r="C273" t="s">
        <v>65</v>
      </c>
      <c r="D273" t="s">
        <v>20</v>
      </c>
      <c r="E273" t="s">
        <v>104</v>
      </c>
      <c r="F273">
        <v>50</v>
      </c>
      <c r="G273" s="2">
        <v>253</v>
      </c>
      <c r="H273" s="2">
        <v>12650</v>
      </c>
      <c r="I273" t="s">
        <v>22</v>
      </c>
      <c r="J273" t="s">
        <v>23</v>
      </c>
      <c r="K273" t="str">
        <f>TEXT(Sales_Data[[#This Row],[Order Date]],"yyyy")</f>
        <v>2026</v>
      </c>
      <c r="L273" t="str">
        <f>TEXT(Sales_Data[[#This Row],[Order Date]],"mmmm")</f>
        <v>December</v>
      </c>
      <c r="M273" s="1">
        <v>46374</v>
      </c>
      <c r="N273" s="1">
        <v>35423</v>
      </c>
      <c r="O273">
        <f>DATEDIF(Sales_Data[[#This Row],[Date of Birth]],Sales_Data[[#This Row],[Order Date]],"y")</f>
        <v>29</v>
      </c>
      <c r="P273" t="str" cm="1">
        <f t="array" ref="P273">_xlfn.IFS(Sales_Data[[#This Row],[Age ]]&lt;=30,"Young Adult",Sales_Data[[#This Row],[Age ]]&lt;=45,"Senior",Sales_Data[[#This Row],[Age ]]&lt;=60,"Adult",Sales_Data[[#This Row],[Age ]]&gt;=61,"Elderly")</f>
        <v>Young Adult</v>
      </c>
    </row>
    <row r="274" spans="1:16" x14ac:dyDescent="0.3">
      <c r="A274" t="s">
        <v>323</v>
      </c>
      <c r="B274" t="s">
        <v>18</v>
      </c>
      <c r="C274" t="s">
        <v>65</v>
      </c>
      <c r="D274" t="s">
        <v>30</v>
      </c>
      <c r="E274" t="s">
        <v>31</v>
      </c>
      <c r="F274">
        <v>20</v>
      </c>
      <c r="G274" s="2">
        <v>324</v>
      </c>
      <c r="H274" s="2">
        <v>6480</v>
      </c>
      <c r="I274" t="s">
        <v>22</v>
      </c>
      <c r="J274" t="s">
        <v>34</v>
      </c>
      <c r="K274" t="str">
        <f>TEXT(Sales_Data[[#This Row],[Order Date]],"yyyy")</f>
        <v>2026</v>
      </c>
      <c r="L274" t="str">
        <f>TEXT(Sales_Data[[#This Row],[Order Date]],"mmmm")</f>
        <v>August</v>
      </c>
      <c r="M274" s="1">
        <v>46239</v>
      </c>
      <c r="N274" s="1">
        <v>28850</v>
      </c>
      <c r="O274">
        <f>DATEDIF(Sales_Data[[#This Row],[Date of Birth]],Sales_Data[[#This Row],[Order Date]],"y")</f>
        <v>47</v>
      </c>
      <c r="P274" t="str" cm="1">
        <f t="array" ref="P274">_xlfn.IFS(Sales_Data[[#This Row],[Age ]]&lt;=30,"Young Adult",Sales_Data[[#This Row],[Age ]]&lt;=45,"Senior",Sales_Data[[#This Row],[Age ]]&lt;=60,"Adult",Sales_Data[[#This Row],[Age ]]&gt;=61,"Elderly")</f>
        <v>Adult</v>
      </c>
    </row>
    <row r="275" spans="1:16" x14ac:dyDescent="0.3">
      <c r="A275" t="s">
        <v>324</v>
      </c>
      <c r="B275" t="s">
        <v>11</v>
      </c>
      <c r="C275" t="s">
        <v>55</v>
      </c>
      <c r="D275" t="s">
        <v>20</v>
      </c>
      <c r="E275" t="s">
        <v>36</v>
      </c>
      <c r="F275">
        <v>31</v>
      </c>
      <c r="G275" s="2">
        <v>237</v>
      </c>
      <c r="H275" s="2">
        <v>7347</v>
      </c>
      <c r="I275" t="s">
        <v>15</v>
      </c>
      <c r="J275" t="s">
        <v>34</v>
      </c>
      <c r="K275" t="str">
        <f>TEXT(Sales_Data[[#This Row],[Order Date]],"yyyy")</f>
        <v>2026</v>
      </c>
      <c r="L275" t="str">
        <f>TEXT(Sales_Data[[#This Row],[Order Date]],"mmmm")</f>
        <v>June</v>
      </c>
      <c r="M275" s="1">
        <v>46182</v>
      </c>
      <c r="N275" s="1">
        <v>30280</v>
      </c>
      <c r="O275">
        <f>DATEDIF(Sales_Data[[#This Row],[Date of Birth]],Sales_Data[[#This Row],[Order Date]],"y")</f>
        <v>43</v>
      </c>
      <c r="P275" t="str" cm="1">
        <f t="array" ref="P275">_xlfn.IFS(Sales_Data[[#This Row],[Age ]]&lt;=30,"Young Adult",Sales_Data[[#This Row],[Age ]]&lt;=45,"Senior",Sales_Data[[#This Row],[Age ]]&lt;=60,"Adult",Sales_Data[[#This Row],[Age ]]&gt;=61,"Elderly")</f>
        <v>Senior</v>
      </c>
    </row>
    <row r="276" spans="1:16" x14ac:dyDescent="0.3">
      <c r="A276" t="s">
        <v>325</v>
      </c>
      <c r="B276" t="s">
        <v>25</v>
      </c>
      <c r="C276" t="s">
        <v>26</v>
      </c>
      <c r="D276" t="s">
        <v>13</v>
      </c>
      <c r="E276" t="s">
        <v>59</v>
      </c>
      <c r="F276">
        <v>20</v>
      </c>
      <c r="G276" s="2">
        <v>113</v>
      </c>
      <c r="H276" s="2">
        <v>2260</v>
      </c>
      <c r="I276" t="s">
        <v>22</v>
      </c>
      <c r="J276" t="s">
        <v>34</v>
      </c>
      <c r="K276" t="str">
        <f>TEXT(Sales_Data[[#This Row],[Order Date]],"yyyy")</f>
        <v>2026</v>
      </c>
      <c r="L276" t="str">
        <f>TEXT(Sales_Data[[#This Row],[Order Date]],"mmmm")</f>
        <v>July</v>
      </c>
      <c r="M276" s="1">
        <v>46214</v>
      </c>
      <c r="N276" s="1">
        <v>34747</v>
      </c>
      <c r="O276">
        <f>DATEDIF(Sales_Data[[#This Row],[Date of Birth]],Sales_Data[[#This Row],[Order Date]],"y")</f>
        <v>31</v>
      </c>
      <c r="P276" t="str" cm="1">
        <f t="array" ref="P276">_xlfn.IFS(Sales_Data[[#This Row],[Age ]]&lt;=30,"Young Adult",Sales_Data[[#This Row],[Age ]]&lt;=45,"Senior",Sales_Data[[#This Row],[Age ]]&lt;=60,"Adult",Sales_Data[[#This Row],[Age ]]&gt;=61,"Elderly")</f>
        <v>Senior</v>
      </c>
    </row>
    <row r="277" spans="1:16" x14ac:dyDescent="0.3">
      <c r="A277" t="s">
        <v>326</v>
      </c>
      <c r="B277" t="s">
        <v>11</v>
      </c>
      <c r="C277" t="s">
        <v>55</v>
      </c>
      <c r="D277" t="s">
        <v>20</v>
      </c>
      <c r="E277" t="s">
        <v>27</v>
      </c>
      <c r="F277">
        <v>9</v>
      </c>
      <c r="G277" s="2">
        <v>695</v>
      </c>
      <c r="H277" s="2">
        <v>6255</v>
      </c>
      <c r="I277" t="s">
        <v>22</v>
      </c>
      <c r="J277" t="s">
        <v>23</v>
      </c>
      <c r="K277" t="str">
        <f>TEXT(Sales_Data[[#This Row],[Order Date]],"yyyy")</f>
        <v>2026</v>
      </c>
      <c r="L277" t="str">
        <f>TEXT(Sales_Data[[#This Row],[Order Date]],"mmmm")</f>
        <v>June</v>
      </c>
      <c r="M277" s="1">
        <v>46193</v>
      </c>
      <c r="N277" s="1">
        <v>34390</v>
      </c>
      <c r="O277">
        <f>DATEDIF(Sales_Data[[#This Row],[Date of Birth]],Sales_Data[[#This Row],[Order Date]],"y")</f>
        <v>32</v>
      </c>
      <c r="P277" t="str" cm="1">
        <f t="array" ref="P277">_xlfn.IFS(Sales_Data[[#This Row],[Age ]]&lt;=30,"Young Adult",Sales_Data[[#This Row],[Age ]]&lt;=45,"Senior",Sales_Data[[#This Row],[Age ]]&lt;=60,"Adult",Sales_Data[[#This Row],[Age ]]&gt;=61,"Elderly")</f>
        <v>Senior</v>
      </c>
    </row>
    <row r="278" spans="1:16" x14ac:dyDescent="0.3">
      <c r="A278" t="s">
        <v>327</v>
      </c>
      <c r="B278" t="s">
        <v>11</v>
      </c>
      <c r="C278" t="s">
        <v>26</v>
      </c>
      <c r="D278" t="s">
        <v>20</v>
      </c>
      <c r="E278" t="s">
        <v>36</v>
      </c>
      <c r="F278">
        <v>19</v>
      </c>
      <c r="G278" s="2">
        <v>1376</v>
      </c>
      <c r="H278" s="2">
        <v>26144</v>
      </c>
      <c r="I278" t="s">
        <v>22</v>
      </c>
      <c r="J278" t="s">
        <v>34</v>
      </c>
      <c r="K278" t="str">
        <f>TEXT(Sales_Data[[#This Row],[Order Date]],"yyyy")</f>
        <v>2026</v>
      </c>
      <c r="L278" t="str">
        <f>TEXT(Sales_Data[[#This Row],[Order Date]],"mmmm")</f>
        <v>August</v>
      </c>
      <c r="M278" s="1">
        <v>46253</v>
      </c>
      <c r="N278" s="1">
        <v>29861</v>
      </c>
      <c r="O278">
        <f>DATEDIF(Sales_Data[[#This Row],[Date of Birth]],Sales_Data[[#This Row],[Order Date]],"y")</f>
        <v>44</v>
      </c>
      <c r="P278" t="str" cm="1">
        <f t="array" ref="P278">_xlfn.IFS(Sales_Data[[#This Row],[Age ]]&lt;=30,"Young Adult",Sales_Data[[#This Row],[Age ]]&lt;=45,"Senior",Sales_Data[[#This Row],[Age ]]&lt;=60,"Adult",Sales_Data[[#This Row],[Age ]]&gt;=61,"Elderly")</f>
        <v>Senior</v>
      </c>
    </row>
    <row r="279" spans="1:16" x14ac:dyDescent="0.3">
      <c r="A279" t="s">
        <v>328</v>
      </c>
      <c r="B279" t="s">
        <v>11</v>
      </c>
      <c r="C279" t="s">
        <v>69</v>
      </c>
      <c r="D279" t="s">
        <v>20</v>
      </c>
      <c r="E279" t="s">
        <v>36</v>
      </c>
      <c r="F279">
        <v>8</v>
      </c>
      <c r="G279" s="2">
        <v>1234</v>
      </c>
      <c r="H279" s="2">
        <v>9872</v>
      </c>
      <c r="I279" t="s">
        <v>22</v>
      </c>
      <c r="J279" t="s">
        <v>16</v>
      </c>
      <c r="K279" t="str">
        <f>TEXT(Sales_Data[[#This Row],[Order Date]],"yyyy")</f>
        <v>2026</v>
      </c>
      <c r="L279" t="str">
        <f>TEXT(Sales_Data[[#This Row],[Order Date]],"mmmm")</f>
        <v>April</v>
      </c>
      <c r="M279" s="1">
        <v>46131</v>
      </c>
      <c r="N279" s="1">
        <v>30920</v>
      </c>
      <c r="O279">
        <f>DATEDIF(Sales_Data[[#This Row],[Date of Birth]],Sales_Data[[#This Row],[Order Date]],"y")</f>
        <v>41</v>
      </c>
      <c r="P279" t="str" cm="1">
        <f t="array" ref="P279">_xlfn.IFS(Sales_Data[[#This Row],[Age ]]&lt;=30,"Young Adult",Sales_Data[[#This Row],[Age ]]&lt;=45,"Senior",Sales_Data[[#This Row],[Age ]]&lt;=60,"Adult",Sales_Data[[#This Row],[Age ]]&gt;=61,"Elderly")</f>
        <v>Senior</v>
      </c>
    </row>
    <row r="280" spans="1:16" x14ac:dyDescent="0.3">
      <c r="A280" t="s">
        <v>329</v>
      </c>
      <c r="B280" t="s">
        <v>25</v>
      </c>
      <c r="C280" t="s">
        <v>55</v>
      </c>
      <c r="D280" t="s">
        <v>30</v>
      </c>
      <c r="E280" t="s">
        <v>47</v>
      </c>
      <c r="F280">
        <v>19</v>
      </c>
      <c r="G280" s="2">
        <v>759</v>
      </c>
      <c r="H280" s="2">
        <v>14421</v>
      </c>
      <c r="I280" t="s">
        <v>15</v>
      </c>
      <c r="J280" t="s">
        <v>16</v>
      </c>
      <c r="K280" t="str">
        <f>TEXT(Sales_Data[[#This Row],[Order Date]],"yyyy")</f>
        <v>2026</v>
      </c>
      <c r="L280" t="str">
        <f>TEXT(Sales_Data[[#This Row],[Order Date]],"mmmm")</f>
        <v>February</v>
      </c>
      <c r="M280" s="1">
        <v>46080</v>
      </c>
      <c r="N280" s="1">
        <v>38482</v>
      </c>
      <c r="O280">
        <f>DATEDIF(Sales_Data[[#This Row],[Date of Birth]],Sales_Data[[#This Row],[Order Date]],"y")</f>
        <v>20</v>
      </c>
      <c r="P280" t="str" cm="1">
        <f t="array" ref="P280">_xlfn.IFS(Sales_Data[[#This Row],[Age ]]&lt;=30,"Young Adult",Sales_Data[[#This Row],[Age ]]&lt;=45,"Senior",Sales_Data[[#This Row],[Age ]]&lt;=60,"Adult",Sales_Data[[#This Row],[Age ]]&gt;=61,"Elderly")</f>
        <v>Young Adult</v>
      </c>
    </row>
    <row r="281" spans="1:16" x14ac:dyDescent="0.3">
      <c r="A281" t="s">
        <v>330</v>
      </c>
      <c r="B281" t="s">
        <v>25</v>
      </c>
      <c r="C281" t="s">
        <v>42</v>
      </c>
      <c r="D281" t="s">
        <v>66</v>
      </c>
      <c r="E281" t="s">
        <v>83</v>
      </c>
      <c r="F281">
        <v>17</v>
      </c>
      <c r="G281" s="2">
        <v>44</v>
      </c>
      <c r="H281" s="2">
        <v>748</v>
      </c>
      <c r="I281" t="s">
        <v>15</v>
      </c>
      <c r="J281" t="s">
        <v>34</v>
      </c>
      <c r="K281" t="str">
        <f>TEXT(Sales_Data[[#This Row],[Order Date]],"yyyy")</f>
        <v>2026</v>
      </c>
      <c r="L281" t="str">
        <f>TEXT(Sales_Data[[#This Row],[Order Date]],"mmmm")</f>
        <v>March</v>
      </c>
      <c r="M281" s="1">
        <v>46104</v>
      </c>
      <c r="N281" s="1">
        <v>32222</v>
      </c>
      <c r="O281">
        <f>DATEDIF(Sales_Data[[#This Row],[Date of Birth]],Sales_Data[[#This Row],[Order Date]],"y")</f>
        <v>38</v>
      </c>
      <c r="P281" t="str" cm="1">
        <f t="array" ref="P281">_xlfn.IFS(Sales_Data[[#This Row],[Age ]]&lt;=30,"Young Adult",Sales_Data[[#This Row],[Age ]]&lt;=45,"Senior",Sales_Data[[#This Row],[Age ]]&lt;=60,"Adult",Sales_Data[[#This Row],[Age ]]&gt;=61,"Elderly")</f>
        <v>Senior</v>
      </c>
    </row>
    <row r="282" spans="1:16" x14ac:dyDescent="0.3">
      <c r="A282" t="s">
        <v>331</v>
      </c>
      <c r="B282" t="s">
        <v>25</v>
      </c>
      <c r="C282" t="s">
        <v>69</v>
      </c>
      <c r="D282" t="s">
        <v>20</v>
      </c>
      <c r="E282" t="s">
        <v>27</v>
      </c>
      <c r="F282">
        <v>26</v>
      </c>
      <c r="G282" s="2">
        <v>1174</v>
      </c>
      <c r="H282" s="2">
        <v>30524</v>
      </c>
      <c r="I282" t="s">
        <v>22</v>
      </c>
      <c r="J282" t="s">
        <v>16</v>
      </c>
      <c r="K282" t="str">
        <f>TEXT(Sales_Data[[#This Row],[Order Date]],"yyyy")</f>
        <v>2026</v>
      </c>
      <c r="L282" t="str">
        <f>TEXT(Sales_Data[[#This Row],[Order Date]],"mmmm")</f>
        <v>September</v>
      </c>
      <c r="M282" s="1">
        <v>46293</v>
      </c>
      <c r="N282" s="1">
        <v>31140</v>
      </c>
      <c r="O282">
        <f>DATEDIF(Sales_Data[[#This Row],[Date of Birth]],Sales_Data[[#This Row],[Order Date]],"y")</f>
        <v>41</v>
      </c>
      <c r="P282" t="str" cm="1">
        <f t="array" ref="P282">_xlfn.IFS(Sales_Data[[#This Row],[Age ]]&lt;=30,"Young Adult",Sales_Data[[#This Row],[Age ]]&lt;=45,"Senior",Sales_Data[[#This Row],[Age ]]&lt;=60,"Adult",Sales_Data[[#This Row],[Age ]]&gt;=61,"Elderly")</f>
        <v>Senior</v>
      </c>
    </row>
    <row r="283" spans="1:16" x14ac:dyDescent="0.3">
      <c r="A283" t="s">
        <v>332</v>
      </c>
      <c r="B283" t="s">
        <v>29</v>
      </c>
      <c r="C283" t="s">
        <v>65</v>
      </c>
      <c r="D283" t="s">
        <v>13</v>
      </c>
      <c r="E283" t="s">
        <v>14</v>
      </c>
      <c r="F283">
        <v>50</v>
      </c>
      <c r="G283" s="2">
        <v>608</v>
      </c>
      <c r="H283" s="2">
        <v>30400</v>
      </c>
      <c r="I283" t="s">
        <v>15</v>
      </c>
      <c r="J283" t="s">
        <v>16</v>
      </c>
      <c r="K283" t="str">
        <f>TEXT(Sales_Data[[#This Row],[Order Date]],"yyyy")</f>
        <v>2026</v>
      </c>
      <c r="L283" t="str">
        <f>TEXT(Sales_Data[[#This Row],[Order Date]],"mmmm")</f>
        <v>November</v>
      </c>
      <c r="M283" s="1">
        <v>46348</v>
      </c>
      <c r="N283" s="1">
        <v>25725</v>
      </c>
      <c r="O283">
        <f>DATEDIF(Sales_Data[[#This Row],[Date of Birth]],Sales_Data[[#This Row],[Order Date]],"y")</f>
        <v>56</v>
      </c>
      <c r="P283" t="str" cm="1">
        <f t="array" ref="P283">_xlfn.IFS(Sales_Data[[#This Row],[Age ]]&lt;=30,"Young Adult",Sales_Data[[#This Row],[Age ]]&lt;=45,"Senior",Sales_Data[[#This Row],[Age ]]&lt;=60,"Adult",Sales_Data[[#This Row],[Age ]]&gt;=61,"Elderly")</f>
        <v>Adult</v>
      </c>
    </row>
    <row r="284" spans="1:16" x14ac:dyDescent="0.3">
      <c r="A284" t="s">
        <v>333</v>
      </c>
      <c r="B284" t="s">
        <v>29</v>
      </c>
      <c r="C284" t="s">
        <v>19</v>
      </c>
      <c r="D284" t="s">
        <v>20</v>
      </c>
      <c r="E284" t="s">
        <v>36</v>
      </c>
      <c r="F284">
        <v>28</v>
      </c>
      <c r="G284" s="2">
        <v>296</v>
      </c>
      <c r="H284" s="2">
        <v>8288</v>
      </c>
      <c r="I284" t="s">
        <v>15</v>
      </c>
      <c r="J284" t="s">
        <v>34</v>
      </c>
      <c r="K284" t="str">
        <f>TEXT(Sales_Data[[#This Row],[Order Date]],"yyyy")</f>
        <v>2026</v>
      </c>
      <c r="L284" t="str">
        <f>TEXT(Sales_Data[[#This Row],[Order Date]],"mmmm")</f>
        <v>January</v>
      </c>
      <c r="M284" s="1">
        <v>46026</v>
      </c>
      <c r="N284" s="1">
        <v>27804</v>
      </c>
      <c r="O284">
        <f>DATEDIF(Sales_Data[[#This Row],[Date of Birth]],Sales_Data[[#This Row],[Order Date]],"y")</f>
        <v>49</v>
      </c>
      <c r="P284" t="str" cm="1">
        <f t="array" ref="P284">_xlfn.IFS(Sales_Data[[#This Row],[Age ]]&lt;=30,"Young Adult",Sales_Data[[#This Row],[Age ]]&lt;=45,"Senior",Sales_Data[[#This Row],[Age ]]&lt;=60,"Adult",Sales_Data[[#This Row],[Age ]]&gt;=61,"Elderly")</f>
        <v>Adult</v>
      </c>
    </row>
    <row r="285" spans="1:16" x14ac:dyDescent="0.3">
      <c r="A285" t="s">
        <v>334</v>
      </c>
      <c r="B285" t="s">
        <v>11</v>
      </c>
      <c r="C285" t="s">
        <v>26</v>
      </c>
      <c r="D285" t="s">
        <v>66</v>
      </c>
      <c r="E285" t="s">
        <v>70</v>
      </c>
      <c r="F285">
        <v>30</v>
      </c>
      <c r="G285" s="2">
        <v>45</v>
      </c>
      <c r="H285" s="2">
        <v>1350</v>
      </c>
      <c r="I285" t="s">
        <v>15</v>
      </c>
      <c r="J285" t="s">
        <v>34</v>
      </c>
      <c r="K285" t="str">
        <f>TEXT(Sales_Data[[#This Row],[Order Date]],"yyyy")</f>
        <v>2026</v>
      </c>
      <c r="L285" t="str">
        <f>TEXT(Sales_Data[[#This Row],[Order Date]],"mmmm")</f>
        <v>October</v>
      </c>
      <c r="M285" s="1">
        <v>46318</v>
      </c>
      <c r="N285" s="1">
        <v>27424</v>
      </c>
      <c r="O285">
        <f>DATEDIF(Sales_Data[[#This Row],[Date of Birth]],Sales_Data[[#This Row],[Order Date]],"y")</f>
        <v>51</v>
      </c>
      <c r="P285" t="str" cm="1">
        <f t="array" ref="P285">_xlfn.IFS(Sales_Data[[#This Row],[Age ]]&lt;=30,"Young Adult",Sales_Data[[#This Row],[Age ]]&lt;=45,"Senior",Sales_Data[[#This Row],[Age ]]&lt;=60,"Adult",Sales_Data[[#This Row],[Age ]]&gt;=61,"Elderly")</f>
        <v>Adult</v>
      </c>
    </row>
    <row r="286" spans="1:16" x14ac:dyDescent="0.3">
      <c r="A286" t="s">
        <v>335</v>
      </c>
      <c r="B286" t="s">
        <v>11</v>
      </c>
      <c r="C286" t="s">
        <v>26</v>
      </c>
      <c r="D286" t="s">
        <v>13</v>
      </c>
      <c r="E286" t="s">
        <v>40</v>
      </c>
      <c r="F286">
        <v>27</v>
      </c>
      <c r="G286" s="2">
        <v>275</v>
      </c>
      <c r="H286" s="2">
        <v>7425</v>
      </c>
      <c r="I286" t="s">
        <v>22</v>
      </c>
      <c r="J286" t="s">
        <v>34</v>
      </c>
      <c r="K286" t="str">
        <f>TEXT(Sales_Data[[#This Row],[Order Date]],"yyyy")</f>
        <v>2026</v>
      </c>
      <c r="L286" t="str">
        <f>TEXT(Sales_Data[[#This Row],[Order Date]],"mmmm")</f>
        <v>February</v>
      </c>
      <c r="M286" s="1">
        <v>46080</v>
      </c>
      <c r="N286" s="1">
        <v>24792</v>
      </c>
      <c r="O286">
        <f>DATEDIF(Sales_Data[[#This Row],[Date of Birth]],Sales_Data[[#This Row],[Order Date]],"y")</f>
        <v>58</v>
      </c>
      <c r="P286" t="str" cm="1">
        <f t="array" ref="P286">_xlfn.IFS(Sales_Data[[#This Row],[Age ]]&lt;=30,"Young Adult",Sales_Data[[#This Row],[Age ]]&lt;=45,"Senior",Sales_Data[[#This Row],[Age ]]&lt;=60,"Adult",Sales_Data[[#This Row],[Age ]]&gt;=61,"Elderly")</f>
        <v>Adult</v>
      </c>
    </row>
    <row r="287" spans="1:16" x14ac:dyDescent="0.3">
      <c r="A287" t="s">
        <v>336</v>
      </c>
      <c r="B287" t="s">
        <v>18</v>
      </c>
      <c r="C287" t="s">
        <v>55</v>
      </c>
      <c r="D287" t="s">
        <v>20</v>
      </c>
      <c r="E287" t="s">
        <v>43</v>
      </c>
      <c r="F287">
        <v>34</v>
      </c>
      <c r="G287" s="2">
        <v>1069</v>
      </c>
      <c r="H287" s="2">
        <v>36346</v>
      </c>
      <c r="I287" t="s">
        <v>22</v>
      </c>
      <c r="J287" t="s">
        <v>34</v>
      </c>
      <c r="K287" t="str">
        <f>TEXT(Sales_Data[[#This Row],[Order Date]],"yyyy")</f>
        <v>2026</v>
      </c>
      <c r="L287" t="str">
        <f>TEXT(Sales_Data[[#This Row],[Order Date]],"mmmm")</f>
        <v>June</v>
      </c>
      <c r="M287" s="1">
        <v>46189</v>
      </c>
      <c r="N287" s="1">
        <v>29282</v>
      </c>
      <c r="O287">
        <f>DATEDIF(Sales_Data[[#This Row],[Date of Birth]],Sales_Data[[#This Row],[Order Date]],"y")</f>
        <v>46</v>
      </c>
      <c r="P287" t="str" cm="1">
        <f t="array" ref="P287">_xlfn.IFS(Sales_Data[[#This Row],[Age ]]&lt;=30,"Young Adult",Sales_Data[[#This Row],[Age ]]&lt;=45,"Senior",Sales_Data[[#This Row],[Age ]]&lt;=60,"Adult",Sales_Data[[#This Row],[Age ]]&gt;=61,"Elderly")</f>
        <v>Adult</v>
      </c>
    </row>
    <row r="288" spans="1:16" x14ac:dyDescent="0.3">
      <c r="A288" t="s">
        <v>337</v>
      </c>
      <c r="B288" t="s">
        <v>29</v>
      </c>
      <c r="C288" t="s">
        <v>12</v>
      </c>
      <c r="D288" t="s">
        <v>13</v>
      </c>
      <c r="E288" t="s">
        <v>40</v>
      </c>
      <c r="F288">
        <v>3</v>
      </c>
      <c r="G288" s="2">
        <v>335</v>
      </c>
      <c r="H288" s="2">
        <v>1005</v>
      </c>
      <c r="I288" t="s">
        <v>15</v>
      </c>
      <c r="J288" t="s">
        <v>16</v>
      </c>
      <c r="K288" t="str">
        <f>TEXT(Sales_Data[[#This Row],[Order Date]],"yyyy")</f>
        <v>2026</v>
      </c>
      <c r="L288" t="str">
        <f>TEXT(Sales_Data[[#This Row],[Order Date]],"mmmm")</f>
        <v>January</v>
      </c>
      <c r="M288" s="1">
        <v>46050</v>
      </c>
      <c r="N288" s="1">
        <v>24087</v>
      </c>
      <c r="O288">
        <f>DATEDIF(Sales_Data[[#This Row],[Date of Birth]],Sales_Data[[#This Row],[Order Date]],"y")</f>
        <v>60</v>
      </c>
      <c r="P288" t="str" cm="1">
        <f t="array" ref="P288">_xlfn.IFS(Sales_Data[[#This Row],[Age ]]&lt;=30,"Young Adult",Sales_Data[[#This Row],[Age ]]&lt;=45,"Senior",Sales_Data[[#This Row],[Age ]]&lt;=60,"Adult",Sales_Data[[#This Row],[Age ]]&gt;=61,"Elderly")</f>
        <v>Adult</v>
      </c>
    </row>
    <row r="289" spans="1:16" x14ac:dyDescent="0.3">
      <c r="A289" t="s">
        <v>338</v>
      </c>
      <c r="B289" t="s">
        <v>25</v>
      </c>
      <c r="C289" t="s">
        <v>55</v>
      </c>
      <c r="D289" t="s">
        <v>30</v>
      </c>
      <c r="E289" t="s">
        <v>61</v>
      </c>
      <c r="F289">
        <v>12</v>
      </c>
      <c r="G289" s="2">
        <v>615</v>
      </c>
      <c r="H289" s="2">
        <v>7380</v>
      </c>
      <c r="I289" t="s">
        <v>15</v>
      </c>
      <c r="J289" t="s">
        <v>34</v>
      </c>
      <c r="K289" t="str">
        <f>TEXT(Sales_Data[[#This Row],[Order Date]],"yyyy")</f>
        <v>2026</v>
      </c>
      <c r="L289" t="str">
        <f>TEXT(Sales_Data[[#This Row],[Order Date]],"mmmm")</f>
        <v>March</v>
      </c>
      <c r="M289" s="1">
        <v>46092</v>
      </c>
      <c r="N289" s="1">
        <v>33381</v>
      </c>
      <c r="O289">
        <f>DATEDIF(Sales_Data[[#This Row],[Date of Birth]],Sales_Data[[#This Row],[Order Date]],"y")</f>
        <v>34</v>
      </c>
      <c r="P289" t="str" cm="1">
        <f t="array" ref="P289">_xlfn.IFS(Sales_Data[[#This Row],[Age ]]&lt;=30,"Young Adult",Sales_Data[[#This Row],[Age ]]&lt;=45,"Senior",Sales_Data[[#This Row],[Age ]]&lt;=60,"Adult",Sales_Data[[#This Row],[Age ]]&gt;=61,"Elderly")</f>
        <v>Senior</v>
      </c>
    </row>
    <row r="290" spans="1:16" x14ac:dyDescent="0.3">
      <c r="A290" t="s">
        <v>339</v>
      </c>
      <c r="B290" t="s">
        <v>18</v>
      </c>
      <c r="C290" t="s">
        <v>19</v>
      </c>
      <c r="D290" t="s">
        <v>30</v>
      </c>
      <c r="E290" t="s">
        <v>38</v>
      </c>
      <c r="F290">
        <v>41</v>
      </c>
      <c r="G290" s="2">
        <v>723</v>
      </c>
      <c r="H290" s="2">
        <v>29643</v>
      </c>
      <c r="I290" t="s">
        <v>22</v>
      </c>
      <c r="J290" t="s">
        <v>16</v>
      </c>
      <c r="K290" t="str">
        <f>TEXT(Sales_Data[[#This Row],[Order Date]],"yyyy")</f>
        <v>2026</v>
      </c>
      <c r="L290" t="str">
        <f>TEXT(Sales_Data[[#This Row],[Order Date]],"mmmm")</f>
        <v>July</v>
      </c>
      <c r="M290" s="1">
        <v>46216</v>
      </c>
      <c r="N290" s="1">
        <v>32818</v>
      </c>
      <c r="O290">
        <f>DATEDIF(Sales_Data[[#This Row],[Date of Birth]],Sales_Data[[#This Row],[Order Date]],"y")</f>
        <v>36</v>
      </c>
      <c r="P290" t="str" cm="1">
        <f t="array" ref="P290">_xlfn.IFS(Sales_Data[[#This Row],[Age ]]&lt;=30,"Young Adult",Sales_Data[[#This Row],[Age ]]&lt;=45,"Senior",Sales_Data[[#This Row],[Age ]]&lt;=60,"Adult",Sales_Data[[#This Row],[Age ]]&gt;=61,"Elderly")</f>
        <v>Senior</v>
      </c>
    </row>
    <row r="291" spans="1:16" x14ac:dyDescent="0.3">
      <c r="A291" t="s">
        <v>340</v>
      </c>
      <c r="B291" t="s">
        <v>18</v>
      </c>
      <c r="C291" t="s">
        <v>12</v>
      </c>
      <c r="D291" t="s">
        <v>20</v>
      </c>
      <c r="E291" t="s">
        <v>104</v>
      </c>
      <c r="F291">
        <v>1</v>
      </c>
      <c r="G291" s="2">
        <v>519</v>
      </c>
      <c r="H291" s="2">
        <v>519</v>
      </c>
      <c r="I291" t="s">
        <v>15</v>
      </c>
      <c r="J291" t="s">
        <v>34</v>
      </c>
      <c r="K291" t="str">
        <f>TEXT(Sales_Data[[#This Row],[Order Date]],"yyyy")</f>
        <v>2026</v>
      </c>
      <c r="L291" t="str">
        <f>TEXT(Sales_Data[[#This Row],[Order Date]],"mmmm")</f>
        <v>April</v>
      </c>
      <c r="M291" s="1">
        <v>46121</v>
      </c>
      <c r="N291" s="1">
        <v>27513</v>
      </c>
      <c r="O291">
        <f>DATEDIF(Sales_Data[[#This Row],[Date of Birth]],Sales_Data[[#This Row],[Order Date]],"y")</f>
        <v>50</v>
      </c>
      <c r="P291" t="str" cm="1">
        <f t="array" ref="P291">_xlfn.IFS(Sales_Data[[#This Row],[Age ]]&lt;=30,"Young Adult",Sales_Data[[#This Row],[Age ]]&lt;=45,"Senior",Sales_Data[[#This Row],[Age ]]&lt;=60,"Adult",Sales_Data[[#This Row],[Age ]]&gt;=61,"Elderly")</f>
        <v>Adult</v>
      </c>
    </row>
    <row r="292" spans="1:16" x14ac:dyDescent="0.3">
      <c r="A292" t="s">
        <v>341</v>
      </c>
      <c r="B292" t="s">
        <v>25</v>
      </c>
      <c r="C292" t="s">
        <v>26</v>
      </c>
      <c r="D292" t="s">
        <v>66</v>
      </c>
      <c r="E292" t="s">
        <v>83</v>
      </c>
      <c r="F292">
        <v>30</v>
      </c>
      <c r="G292" s="2">
        <v>9</v>
      </c>
      <c r="H292" s="2">
        <v>270</v>
      </c>
      <c r="I292" t="s">
        <v>22</v>
      </c>
      <c r="J292" t="s">
        <v>16</v>
      </c>
      <c r="K292" t="str">
        <f>TEXT(Sales_Data[[#This Row],[Order Date]],"yyyy")</f>
        <v>2026</v>
      </c>
      <c r="L292" t="str">
        <f>TEXT(Sales_Data[[#This Row],[Order Date]],"mmmm")</f>
        <v>May</v>
      </c>
      <c r="M292" s="1">
        <v>46164</v>
      </c>
      <c r="N292" s="1">
        <v>33384</v>
      </c>
      <c r="O292">
        <f>DATEDIF(Sales_Data[[#This Row],[Date of Birth]],Sales_Data[[#This Row],[Order Date]],"y")</f>
        <v>34</v>
      </c>
      <c r="P292" t="str" cm="1">
        <f t="array" ref="P292">_xlfn.IFS(Sales_Data[[#This Row],[Age ]]&lt;=30,"Young Adult",Sales_Data[[#This Row],[Age ]]&lt;=45,"Senior",Sales_Data[[#This Row],[Age ]]&lt;=60,"Adult",Sales_Data[[#This Row],[Age ]]&gt;=61,"Elderly")</f>
        <v>Senior</v>
      </c>
    </row>
    <row r="293" spans="1:16" x14ac:dyDescent="0.3">
      <c r="A293" t="s">
        <v>342</v>
      </c>
      <c r="B293" t="s">
        <v>25</v>
      </c>
      <c r="C293" t="s">
        <v>65</v>
      </c>
      <c r="D293" t="s">
        <v>20</v>
      </c>
      <c r="E293" t="s">
        <v>27</v>
      </c>
      <c r="F293">
        <v>8</v>
      </c>
      <c r="G293" s="2">
        <v>792</v>
      </c>
      <c r="H293" s="2">
        <v>6336</v>
      </c>
      <c r="I293" t="s">
        <v>22</v>
      </c>
      <c r="J293" t="s">
        <v>16</v>
      </c>
      <c r="K293" t="str">
        <f>TEXT(Sales_Data[[#This Row],[Order Date]],"yyyy")</f>
        <v>2026</v>
      </c>
      <c r="L293" t="str">
        <f>TEXT(Sales_Data[[#This Row],[Order Date]],"mmmm")</f>
        <v>June</v>
      </c>
      <c r="M293" s="1">
        <v>46201</v>
      </c>
      <c r="N293" s="1">
        <v>27351</v>
      </c>
      <c r="O293">
        <f>DATEDIF(Sales_Data[[#This Row],[Date of Birth]],Sales_Data[[#This Row],[Order Date]],"y")</f>
        <v>51</v>
      </c>
      <c r="P293" t="str" cm="1">
        <f t="array" ref="P293">_xlfn.IFS(Sales_Data[[#This Row],[Age ]]&lt;=30,"Young Adult",Sales_Data[[#This Row],[Age ]]&lt;=45,"Senior",Sales_Data[[#This Row],[Age ]]&lt;=60,"Adult",Sales_Data[[#This Row],[Age ]]&gt;=61,"Elderly")</f>
        <v>Adult</v>
      </c>
    </row>
    <row r="294" spans="1:16" x14ac:dyDescent="0.3">
      <c r="A294" t="s">
        <v>343</v>
      </c>
      <c r="B294" t="s">
        <v>18</v>
      </c>
      <c r="C294" t="s">
        <v>65</v>
      </c>
      <c r="D294" t="s">
        <v>13</v>
      </c>
      <c r="E294" t="s">
        <v>59</v>
      </c>
      <c r="F294">
        <v>21</v>
      </c>
      <c r="G294" s="2">
        <v>341</v>
      </c>
      <c r="H294" s="2">
        <v>7161</v>
      </c>
      <c r="I294" t="s">
        <v>22</v>
      </c>
      <c r="J294" t="s">
        <v>16</v>
      </c>
      <c r="K294" t="str">
        <f>TEXT(Sales_Data[[#This Row],[Order Date]],"yyyy")</f>
        <v>2026</v>
      </c>
      <c r="L294" t="str">
        <f>TEXT(Sales_Data[[#This Row],[Order Date]],"mmmm")</f>
        <v>April</v>
      </c>
      <c r="M294" s="1">
        <v>46122</v>
      </c>
      <c r="N294" s="1">
        <v>23860</v>
      </c>
      <c r="O294">
        <f>DATEDIF(Sales_Data[[#This Row],[Date of Birth]],Sales_Data[[#This Row],[Order Date]],"y")</f>
        <v>60</v>
      </c>
      <c r="P294" t="str" cm="1">
        <f t="array" ref="P294">_xlfn.IFS(Sales_Data[[#This Row],[Age ]]&lt;=30,"Young Adult",Sales_Data[[#This Row],[Age ]]&lt;=45,"Senior",Sales_Data[[#This Row],[Age ]]&lt;=60,"Adult",Sales_Data[[#This Row],[Age ]]&gt;=61,"Elderly")</f>
        <v>Adult</v>
      </c>
    </row>
    <row r="295" spans="1:16" x14ac:dyDescent="0.3">
      <c r="A295" t="s">
        <v>344</v>
      </c>
      <c r="B295" t="s">
        <v>25</v>
      </c>
      <c r="C295" t="s">
        <v>42</v>
      </c>
      <c r="D295" t="s">
        <v>30</v>
      </c>
      <c r="E295" t="s">
        <v>61</v>
      </c>
      <c r="F295">
        <v>25</v>
      </c>
      <c r="G295" s="2">
        <v>478</v>
      </c>
      <c r="H295" s="2">
        <v>11950</v>
      </c>
      <c r="I295" t="s">
        <v>15</v>
      </c>
      <c r="J295" t="s">
        <v>34</v>
      </c>
      <c r="K295" t="str">
        <f>TEXT(Sales_Data[[#This Row],[Order Date]],"yyyy")</f>
        <v>2026</v>
      </c>
      <c r="L295" t="str">
        <f>TEXT(Sales_Data[[#This Row],[Order Date]],"mmmm")</f>
        <v>October</v>
      </c>
      <c r="M295" s="1">
        <v>46300</v>
      </c>
      <c r="N295" s="1">
        <v>24906</v>
      </c>
      <c r="O295">
        <f>DATEDIF(Sales_Data[[#This Row],[Date of Birth]],Sales_Data[[#This Row],[Order Date]],"y")</f>
        <v>58</v>
      </c>
      <c r="P295" t="str" cm="1">
        <f t="array" ref="P295">_xlfn.IFS(Sales_Data[[#This Row],[Age ]]&lt;=30,"Young Adult",Sales_Data[[#This Row],[Age ]]&lt;=45,"Senior",Sales_Data[[#This Row],[Age ]]&lt;=60,"Adult",Sales_Data[[#This Row],[Age ]]&gt;=61,"Elderly")</f>
        <v>Adult</v>
      </c>
    </row>
    <row r="296" spans="1:16" x14ac:dyDescent="0.3">
      <c r="A296" t="s">
        <v>345</v>
      </c>
      <c r="B296" t="s">
        <v>11</v>
      </c>
      <c r="C296" t="s">
        <v>26</v>
      </c>
      <c r="D296" t="s">
        <v>30</v>
      </c>
      <c r="E296" t="s">
        <v>61</v>
      </c>
      <c r="F296">
        <v>11</v>
      </c>
      <c r="G296" s="2">
        <v>551</v>
      </c>
      <c r="H296" s="2">
        <v>6061</v>
      </c>
      <c r="I296" t="s">
        <v>22</v>
      </c>
      <c r="J296" t="s">
        <v>16</v>
      </c>
      <c r="K296" t="str">
        <f>TEXT(Sales_Data[[#This Row],[Order Date]],"yyyy")</f>
        <v>2026</v>
      </c>
      <c r="L296" t="str">
        <f>TEXT(Sales_Data[[#This Row],[Order Date]],"mmmm")</f>
        <v>May</v>
      </c>
      <c r="M296" s="1">
        <v>46147</v>
      </c>
      <c r="N296" s="1">
        <v>35340</v>
      </c>
      <c r="O296">
        <f>DATEDIF(Sales_Data[[#This Row],[Date of Birth]],Sales_Data[[#This Row],[Order Date]],"y")</f>
        <v>29</v>
      </c>
      <c r="P296" t="str" cm="1">
        <f t="array" ref="P296">_xlfn.IFS(Sales_Data[[#This Row],[Age ]]&lt;=30,"Young Adult",Sales_Data[[#This Row],[Age ]]&lt;=45,"Senior",Sales_Data[[#This Row],[Age ]]&lt;=60,"Adult",Sales_Data[[#This Row],[Age ]]&gt;=61,"Elderly")</f>
        <v>Young Adult</v>
      </c>
    </row>
    <row r="297" spans="1:16" x14ac:dyDescent="0.3">
      <c r="A297" t="s">
        <v>346</v>
      </c>
      <c r="B297" t="s">
        <v>25</v>
      </c>
      <c r="C297" t="s">
        <v>55</v>
      </c>
      <c r="D297" t="s">
        <v>13</v>
      </c>
      <c r="E297" t="s">
        <v>40</v>
      </c>
      <c r="F297">
        <v>1</v>
      </c>
      <c r="G297" s="2">
        <v>1092</v>
      </c>
      <c r="H297" s="2">
        <v>1092</v>
      </c>
      <c r="I297" t="s">
        <v>22</v>
      </c>
      <c r="J297" t="s">
        <v>16</v>
      </c>
      <c r="K297" t="str">
        <f>TEXT(Sales_Data[[#This Row],[Order Date]],"yyyy")</f>
        <v>2026</v>
      </c>
      <c r="L297" t="str">
        <f>TEXT(Sales_Data[[#This Row],[Order Date]],"mmmm")</f>
        <v>March</v>
      </c>
      <c r="M297" s="1">
        <v>46088</v>
      </c>
      <c r="N297" s="1">
        <v>34082</v>
      </c>
      <c r="O297">
        <f>DATEDIF(Sales_Data[[#This Row],[Date of Birth]],Sales_Data[[#This Row],[Order Date]],"y")</f>
        <v>32</v>
      </c>
      <c r="P297" t="str" cm="1">
        <f t="array" ref="P297">_xlfn.IFS(Sales_Data[[#This Row],[Age ]]&lt;=30,"Young Adult",Sales_Data[[#This Row],[Age ]]&lt;=45,"Senior",Sales_Data[[#This Row],[Age ]]&lt;=60,"Adult",Sales_Data[[#This Row],[Age ]]&gt;=61,"Elderly")</f>
        <v>Senior</v>
      </c>
    </row>
    <row r="298" spans="1:16" x14ac:dyDescent="0.3">
      <c r="A298" t="s">
        <v>347</v>
      </c>
      <c r="B298" t="s">
        <v>18</v>
      </c>
      <c r="C298" t="s">
        <v>69</v>
      </c>
      <c r="D298" t="s">
        <v>20</v>
      </c>
      <c r="E298" t="s">
        <v>104</v>
      </c>
      <c r="F298">
        <v>46</v>
      </c>
      <c r="G298" s="2">
        <v>989</v>
      </c>
      <c r="H298" s="2">
        <v>45494</v>
      </c>
      <c r="I298" t="s">
        <v>15</v>
      </c>
      <c r="J298" t="s">
        <v>34</v>
      </c>
      <c r="K298" t="str">
        <f>TEXT(Sales_Data[[#This Row],[Order Date]],"yyyy")</f>
        <v>2026</v>
      </c>
      <c r="L298" t="str">
        <f>TEXT(Sales_Data[[#This Row],[Order Date]],"mmmm")</f>
        <v>August</v>
      </c>
      <c r="M298" s="1">
        <v>46240</v>
      </c>
      <c r="N298" s="1">
        <v>24707</v>
      </c>
      <c r="O298">
        <f>DATEDIF(Sales_Data[[#This Row],[Date of Birth]],Sales_Data[[#This Row],[Order Date]],"y")</f>
        <v>58</v>
      </c>
      <c r="P298" t="str" cm="1">
        <f t="array" ref="P298">_xlfn.IFS(Sales_Data[[#This Row],[Age ]]&lt;=30,"Young Adult",Sales_Data[[#This Row],[Age ]]&lt;=45,"Senior",Sales_Data[[#This Row],[Age ]]&lt;=60,"Adult",Sales_Data[[#This Row],[Age ]]&gt;=61,"Elderly")</f>
        <v>Adult</v>
      </c>
    </row>
    <row r="299" spans="1:16" x14ac:dyDescent="0.3">
      <c r="A299" t="s">
        <v>348</v>
      </c>
      <c r="B299" t="s">
        <v>25</v>
      </c>
      <c r="C299" t="s">
        <v>55</v>
      </c>
      <c r="D299" t="s">
        <v>13</v>
      </c>
      <c r="E299" t="s">
        <v>40</v>
      </c>
      <c r="F299">
        <v>15</v>
      </c>
      <c r="G299" s="2">
        <v>691</v>
      </c>
      <c r="H299" s="2">
        <v>10365</v>
      </c>
      <c r="I299" t="s">
        <v>15</v>
      </c>
      <c r="J299" t="s">
        <v>16</v>
      </c>
      <c r="K299" t="str">
        <f>TEXT(Sales_Data[[#This Row],[Order Date]],"yyyy")</f>
        <v>2026</v>
      </c>
      <c r="L299" t="str">
        <f>TEXT(Sales_Data[[#This Row],[Order Date]],"mmmm")</f>
        <v>March</v>
      </c>
      <c r="M299" s="1">
        <v>46106</v>
      </c>
      <c r="N299" s="1">
        <v>27493</v>
      </c>
      <c r="O299">
        <f>DATEDIF(Sales_Data[[#This Row],[Date of Birth]],Sales_Data[[#This Row],[Order Date]],"y")</f>
        <v>50</v>
      </c>
      <c r="P299" t="str" cm="1">
        <f t="array" ref="P299">_xlfn.IFS(Sales_Data[[#This Row],[Age ]]&lt;=30,"Young Adult",Sales_Data[[#This Row],[Age ]]&lt;=45,"Senior",Sales_Data[[#This Row],[Age ]]&lt;=60,"Adult",Sales_Data[[#This Row],[Age ]]&gt;=61,"Elderly")</f>
        <v>Adult</v>
      </c>
    </row>
    <row r="300" spans="1:16" x14ac:dyDescent="0.3">
      <c r="A300" t="s">
        <v>349</v>
      </c>
      <c r="B300" t="s">
        <v>18</v>
      </c>
      <c r="C300" t="s">
        <v>55</v>
      </c>
      <c r="D300" t="s">
        <v>13</v>
      </c>
      <c r="E300" t="s">
        <v>40</v>
      </c>
      <c r="F300">
        <v>50</v>
      </c>
      <c r="G300" s="2">
        <v>851</v>
      </c>
      <c r="H300" s="2">
        <v>42550</v>
      </c>
      <c r="I300" t="s">
        <v>15</v>
      </c>
      <c r="J300" t="s">
        <v>34</v>
      </c>
      <c r="K300" t="str">
        <f>TEXT(Sales_Data[[#This Row],[Order Date]],"yyyy")</f>
        <v>2026</v>
      </c>
      <c r="L300" t="str">
        <f>TEXT(Sales_Data[[#This Row],[Order Date]],"mmmm")</f>
        <v>September</v>
      </c>
      <c r="M300" s="1">
        <v>46292</v>
      </c>
      <c r="N300" s="1">
        <v>24847</v>
      </c>
      <c r="O300">
        <f>DATEDIF(Sales_Data[[#This Row],[Date of Birth]],Sales_Data[[#This Row],[Order Date]],"y")</f>
        <v>58</v>
      </c>
      <c r="P300" t="str" cm="1">
        <f t="array" ref="P300">_xlfn.IFS(Sales_Data[[#This Row],[Age ]]&lt;=30,"Young Adult",Sales_Data[[#This Row],[Age ]]&lt;=45,"Senior",Sales_Data[[#This Row],[Age ]]&lt;=60,"Adult",Sales_Data[[#This Row],[Age ]]&gt;=61,"Elderly")</f>
        <v>Adult</v>
      </c>
    </row>
    <row r="301" spans="1:16" x14ac:dyDescent="0.3">
      <c r="A301" t="s">
        <v>350</v>
      </c>
      <c r="B301" t="s">
        <v>29</v>
      </c>
      <c r="C301" t="s">
        <v>12</v>
      </c>
      <c r="D301" t="s">
        <v>13</v>
      </c>
      <c r="E301" t="s">
        <v>59</v>
      </c>
      <c r="F301">
        <v>20</v>
      </c>
      <c r="G301" s="2">
        <v>166</v>
      </c>
      <c r="H301" s="2">
        <v>3320</v>
      </c>
      <c r="I301" t="s">
        <v>22</v>
      </c>
      <c r="J301" t="s">
        <v>23</v>
      </c>
      <c r="K301" t="str">
        <f>TEXT(Sales_Data[[#This Row],[Order Date]],"yyyy")</f>
        <v>2026</v>
      </c>
      <c r="L301" t="str">
        <f>TEXT(Sales_Data[[#This Row],[Order Date]],"mmmm")</f>
        <v>August</v>
      </c>
      <c r="M301" s="1">
        <v>46243</v>
      </c>
      <c r="N301" s="1">
        <v>38577</v>
      </c>
      <c r="O301">
        <f>DATEDIF(Sales_Data[[#This Row],[Date of Birth]],Sales_Data[[#This Row],[Order Date]],"y")</f>
        <v>20</v>
      </c>
      <c r="P301" t="str" cm="1">
        <f t="array" ref="P301">_xlfn.IFS(Sales_Data[[#This Row],[Age ]]&lt;=30,"Young Adult",Sales_Data[[#This Row],[Age ]]&lt;=45,"Senior",Sales_Data[[#This Row],[Age ]]&lt;=60,"Adult",Sales_Data[[#This Row],[Age ]]&gt;=61,"Elderly")</f>
        <v>Young Adult</v>
      </c>
    </row>
    <row r="302" spans="1:16" x14ac:dyDescent="0.3">
      <c r="A302" t="s">
        <v>351</v>
      </c>
      <c r="B302" t="s">
        <v>25</v>
      </c>
      <c r="C302" t="s">
        <v>65</v>
      </c>
      <c r="D302" t="s">
        <v>30</v>
      </c>
      <c r="E302" t="s">
        <v>38</v>
      </c>
      <c r="F302">
        <v>48</v>
      </c>
      <c r="G302" s="2">
        <v>652</v>
      </c>
      <c r="H302" s="2">
        <v>31296</v>
      </c>
      <c r="I302" t="s">
        <v>15</v>
      </c>
      <c r="J302" t="s">
        <v>23</v>
      </c>
      <c r="K302" t="str">
        <f>TEXT(Sales_Data[[#This Row],[Order Date]],"yyyy")</f>
        <v>2026</v>
      </c>
      <c r="L302" t="str">
        <f>TEXT(Sales_Data[[#This Row],[Order Date]],"mmmm")</f>
        <v>December</v>
      </c>
      <c r="M302" s="1">
        <v>46368</v>
      </c>
      <c r="N302" s="1">
        <v>24257</v>
      </c>
      <c r="O302">
        <f>DATEDIF(Sales_Data[[#This Row],[Date of Birth]],Sales_Data[[#This Row],[Order Date]],"y")</f>
        <v>60</v>
      </c>
      <c r="P302" t="str" cm="1">
        <f t="array" ref="P302">_xlfn.IFS(Sales_Data[[#This Row],[Age ]]&lt;=30,"Young Adult",Sales_Data[[#This Row],[Age ]]&lt;=45,"Senior",Sales_Data[[#This Row],[Age ]]&lt;=60,"Adult",Sales_Data[[#This Row],[Age ]]&gt;=61,"Elderly")</f>
        <v>Adult</v>
      </c>
    </row>
    <row r="303" spans="1:16" x14ac:dyDescent="0.3">
      <c r="A303" t="s">
        <v>352</v>
      </c>
      <c r="B303" t="s">
        <v>11</v>
      </c>
      <c r="C303" t="s">
        <v>26</v>
      </c>
      <c r="D303" t="s">
        <v>30</v>
      </c>
      <c r="E303" t="s">
        <v>57</v>
      </c>
      <c r="F303">
        <v>37</v>
      </c>
      <c r="G303" s="2">
        <v>409</v>
      </c>
      <c r="H303" s="2">
        <v>15133</v>
      </c>
      <c r="I303" t="s">
        <v>22</v>
      </c>
      <c r="J303" t="s">
        <v>34</v>
      </c>
      <c r="K303" t="str">
        <f>TEXT(Sales_Data[[#This Row],[Order Date]],"yyyy")</f>
        <v>2026</v>
      </c>
      <c r="L303" t="str">
        <f>TEXT(Sales_Data[[#This Row],[Order Date]],"mmmm")</f>
        <v>September</v>
      </c>
      <c r="M303" s="1">
        <v>46274</v>
      </c>
      <c r="N303" s="1">
        <v>37827</v>
      </c>
      <c r="O303">
        <f>DATEDIF(Sales_Data[[#This Row],[Date of Birth]],Sales_Data[[#This Row],[Order Date]],"y")</f>
        <v>23</v>
      </c>
      <c r="P303" t="str" cm="1">
        <f t="array" ref="P303">_xlfn.IFS(Sales_Data[[#This Row],[Age ]]&lt;=30,"Young Adult",Sales_Data[[#This Row],[Age ]]&lt;=45,"Senior",Sales_Data[[#This Row],[Age ]]&lt;=60,"Adult",Sales_Data[[#This Row],[Age ]]&gt;=61,"Elderly")</f>
        <v>Young Adult</v>
      </c>
    </row>
    <row r="304" spans="1:16" x14ac:dyDescent="0.3">
      <c r="A304" t="s">
        <v>353</v>
      </c>
      <c r="B304" t="s">
        <v>25</v>
      </c>
      <c r="C304" t="s">
        <v>69</v>
      </c>
      <c r="D304" t="s">
        <v>66</v>
      </c>
      <c r="E304" t="s">
        <v>92</v>
      </c>
      <c r="F304">
        <v>44</v>
      </c>
      <c r="G304" s="2">
        <v>8</v>
      </c>
      <c r="H304" s="2">
        <v>352</v>
      </c>
      <c r="I304" t="s">
        <v>22</v>
      </c>
      <c r="J304" t="s">
        <v>16</v>
      </c>
      <c r="K304" t="str">
        <f>TEXT(Sales_Data[[#This Row],[Order Date]],"yyyy")</f>
        <v>2026</v>
      </c>
      <c r="L304" t="str">
        <f>TEXT(Sales_Data[[#This Row],[Order Date]],"mmmm")</f>
        <v>March</v>
      </c>
      <c r="M304" s="1">
        <v>46106</v>
      </c>
      <c r="N304" s="1">
        <v>29156</v>
      </c>
      <c r="O304">
        <f>DATEDIF(Sales_Data[[#This Row],[Date of Birth]],Sales_Data[[#This Row],[Order Date]],"y")</f>
        <v>46</v>
      </c>
      <c r="P304" t="str" cm="1">
        <f t="array" ref="P304">_xlfn.IFS(Sales_Data[[#This Row],[Age ]]&lt;=30,"Young Adult",Sales_Data[[#This Row],[Age ]]&lt;=45,"Senior",Sales_Data[[#This Row],[Age ]]&lt;=60,"Adult",Sales_Data[[#This Row],[Age ]]&gt;=61,"Elderly")</f>
        <v>Adult</v>
      </c>
    </row>
    <row r="305" spans="1:16" x14ac:dyDescent="0.3">
      <c r="A305" t="s">
        <v>354</v>
      </c>
      <c r="B305" t="s">
        <v>11</v>
      </c>
      <c r="C305" t="s">
        <v>42</v>
      </c>
      <c r="D305" t="s">
        <v>30</v>
      </c>
      <c r="E305" t="s">
        <v>38</v>
      </c>
      <c r="F305">
        <v>16</v>
      </c>
      <c r="G305" s="2">
        <v>199</v>
      </c>
      <c r="H305" s="2">
        <v>3184</v>
      </c>
      <c r="I305" t="s">
        <v>22</v>
      </c>
      <c r="J305" t="s">
        <v>23</v>
      </c>
      <c r="K305" t="str">
        <f>TEXT(Sales_Data[[#This Row],[Order Date]],"yyyy")</f>
        <v>2026</v>
      </c>
      <c r="L305" t="str">
        <f>TEXT(Sales_Data[[#This Row],[Order Date]],"mmmm")</f>
        <v>December</v>
      </c>
      <c r="M305" s="1">
        <v>46367</v>
      </c>
      <c r="N305" s="1">
        <v>24903</v>
      </c>
      <c r="O305">
        <f>DATEDIF(Sales_Data[[#This Row],[Date of Birth]],Sales_Data[[#This Row],[Order Date]],"y")</f>
        <v>58</v>
      </c>
      <c r="P305" t="str" cm="1">
        <f t="array" ref="P305">_xlfn.IFS(Sales_Data[[#This Row],[Age ]]&lt;=30,"Young Adult",Sales_Data[[#This Row],[Age ]]&lt;=45,"Senior",Sales_Data[[#This Row],[Age ]]&lt;=60,"Adult",Sales_Data[[#This Row],[Age ]]&gt;=61,"Elderly")</f>
        <v>Adult</v>
      </c>
    </row>
    <row r="306" spans="1:16" x14ac:dyDescent="0.3">
      <c r="A306" t="s">
        <v>355</v>
      </c>
      <c r="B306" t="s">
        <v>18</v>
      </c>
      <c r="C306" t="s">
        <v>42</v>
      </c>
      <c r="D306" t="s">
        <v>66</v>
      </c>
      <c r="E306" t="s">
        <v>70</v>
      </c>
      <c r="F306">
        <v>25</v>
      </c>
      <c r="G306" s="2">
        <v>30</v>
      </c>
      <c r="H306" s="2">
        <v>750</v>
      </c>
      <c r="I306" t="s">
        <v>22</v>
      </c>
      <c r="J306" t="s">
        <v>16</v>
      </c>
      <c r="K306" t="str">
        <f>TEXT(Sales_Data[[#This Row],[Order Date]],"yyyy")</f>
        <v>2026</v>
      </c>
      <c r="L306" t="str">
        <f>TEXT(Sales_Data[[#This Row],[Order Date]],"mmmm")</f>
        <v>February</v>
      </c>
      <c r="M306" s="1">
        <v>46074</v>
      </c>
      <c r="N306" s="1">
        <v>32166</v>
      </c>
      <c r="O306">
        <f>DATEDIF(Sales_Data[[#This Row],[Date of Birth]],Sales_Data[[#This Row],[Order Date]],"y")</f>
        <v>38</v>
      </c>
      <c r="P306" t="str" cm="1">
        <f t="array" ref="P306">_xlfn.IFS(Sales_Data[[#This Row],[Age ]]&lt;=30,"Young Adult",Sales_Data[[#This Row],[Age ]]&lt;=45,"Senior",Sales_Data[[#This Row],[Age ]]&lt;=60,"Adult",Sales_Data[[#This Row],[Age ]]&gt;=61,"Elderly")</f>
        <v>Senior</v>
      </c>
    </row>
    <row r="307" spans="1:16" x14ac:dyDescent="0.3">
      <c r="A307" t="s">
        <v>356</v>
      </c>
      <c r="B307" t="s">
        <v>18</v>
      </c>
      <c r="C307" t="s">
        <v>55</v>
      </c>
      <c r="D307" t="s">
        <v>66</v>
      </c>
      <c r="E307" t="s">
        <v>70</v>
      </c>
      <c r="F307">
        <v>32</v>
      </c>
      <c r="G307" s="2">
        <v>22</v>
      </c>
      <c r="H307" s="2">
        <v>704</v>
      </c>
      <c r="I307" t="s">
        <v>22</v>
      </c>
      <c r="J307" t="s">
        <v>23</v>
      </c>
      <c r="K307" t="str">
        <f>TEXT(Sales_Data[[#This Row],[Order Date]],"yyyy")</f>
        <v>2026</v>
      </c>
      <c r="L307" t="str">
        <f>TEXT(Sales_Data[[#This Row],[Order Date]],"mmmm")</f>
        <v>October</v>
      </c>
      <c r="M307" s="1">
        <v>46296</v>
      </c>
      <c r="N307" s="1">
        <v>27642</v>
      </c>
      <c r="O307">
        <f>DATEDIF(Sales_Data[[#This Row],[Date of Birth]],Sales_Data[[#This Row],[Order Date]],"y")</f>
        <v>51</v>
      </c>
      <c r="P307" t="str" cm="1">
        <f t="array" ref="P307">_xlfn.IFS(Sales_Data[[#This Row],[Age ]]&lt;=30,"Young Adult",Sales_Data[[#This Row],[Age ]]&lt;=45,"Senior",Sales_Data[[#This Row],[Age ]]&lt;=60,"Adult",Sales_Data[[#This Row],[Age ]]&gt;=61,"Elderly")</f>
        <v>Adult</v>
      </c>
    </row>
    <row r="308" spans="1:16" x14ac:dyDescent="0.3">
      <c r="A308" t="s">
        <v>357</v>
      </c>
      <c r="B308" t="s">
        <v>29</v>
      </c>
      <c r="C308" t="s">
        <v>46</v>
      </c>
      <c r="D308" t="s">
        <v>20</v>
      </c>
      <c r="E308" t="s">
        <v>43</v>
      </c>
      <c r="F308">
        <v>28</v>
      </c>
      <c r="G308" s="2">
        <v>513</v>
      </c>
      <c r="H308" s="2">
        <v>14364</v>
      </c>
      <c r="I308" t="s">
        <v>22</v>
      </c>
      <c r="J308" t="s">
        <v>16</v>
      </c>
      <c r="K308" t="str">
        <f>TEXT(Sales_Data[[#This Row],[Order Date]],"yyyy")</f>
        <v>2026</v>
      </c>
      <c r="L308" t="str">
        <f>TEXT(Sales_Data[[#This Row],[Order Date]],"mmmm")</f>
        <v>August</v>
      </c>
      <c r="M308" s="1">
        <v>46243</v>
      </c>
      <c r="N308" s="1">
        <v>28305</v>
      </c>
      <c r="O308">
        <f>DATEDIF(Sales_Data[[#This Row],[Date of Birth]],Sales_Data[[#This Row],[Order Date]],"y")</f>
        <v>49</v>
      </c>
      <c r="P308" t="str" cm="1">
        <f t="array" ref="P308">_xlfn.IFS(Sales_Data[[#This Row],[Age ]]&lt;=30,"Young Adult",Sales_Data[[#This Row],[Age ]]&lt;=45,"Senior",Sales_Data[[#This Row],[Age ]]&lt;=60,"Adult",Sales_Data[[#This Row],[Age ]]&gt;=61,"Elderly")</f>
        <v>Adult</v>
      </c>
    </row>
    <row r="309" spans="1:16" x14ac:dyDescent="0.3">
      <c r="A309" t="s">
        <v>358</v>
      </c>
      <c r="B309" t="s">
        <v>18</v>
      </c>
      <c r="C309" t="s">
        <v>69</v>
      </c>
      <c r="D309" t="s">
        <v>30</v>
      </c>
      <c r="E309" t="s">
        <v>61</v>
      </c>
      <c r="F309">
        <v>32</v>
      </c>
      <c r="G309" s="2">
        <v>401</v>
      </c>
      <c r="H309" s="2">
        <v>12832</v>
      </c>
      <c r="I309" t="s">
        <v>15</v>
      </c>
      <c r="J309" t="s">
        <v>16</v>
      </c>
      <c r="K309" t="str">
        <f>TEXT(Sales_Data[[#This Row],[Order Date]],"yyyy")</f>
        <v>2026</v>
      </c>
      <c r="L309" t="str">
        <f>TEXT(Sales_Data[[#This Row],[Order Date]],"mmmm")</f>
        <v>November</v>
      </c>
      <c r="M309" s="1">
        <v>46351</v>
      </c>
      <c r="N309" s="1">
        <v>34703</v>
      </c>
      <c r="O309">
        <f>DATEDIF(Sales_Data[[#This Row],[Date of Birth]],Sales_Data[[#This Row],[Order Date]],"y")</f>
        <v>31</v>
      </c>
      <c r="P309" t="str" cm="1">
        <f t="array" ref="P309">_xlfn.IFS(Sales_Data[[#This Row],[Age ]]&lt;=30,"Young Adult",Sales_Data[[#This Row],[Age ]]&lt;=45,"Senior",Sales_Data[[#This Row],[Age ]]&lt;=60,"Adult",Sales_Data[[#This Row],[Age ]]&gt;=61,"Elderly")</f>
        <v>Senior</v>
      </c>
    </row>
    <row r="310" spans="1:16" x14ac:dyDescent="0.3">
      <c r="A310" t="s">
        <v>359</v>
      </c>
      <c r="B310" t="s">
        <v>18</v>
      </c>
      <c r="C310" t="s">
        <v>42</v>
      </c>
      <c r="D310" t="s">
        <v>20</v>
      </c>
      <c r="E310" t="s">
        <v>21</v>
      </c>
      <c r="F310">
        <v>8</v>
      </c>
      <c r="G310" s="2">
        <v>403</v>
      </c>
      <c r="H310" s="2">
        <v>3224</v>
      </c>
      <c r="I310" t="s">
        <v>15</v>
      </c>
      <c r="J310" t="s">
        <v>16</v>
      </c>
      <c r="K310" t="str">
        <f>TEXT(Sales_Data[[#This Row],[Order Date]],"yyyy")</f>
        <v>2026</v>
      </c>
      <c r="L310" t="str">
        <f>TEXT(Sales_Data[[#This Row],[Order Date]],"mmmm")</f>
        <v>August</v>
      </c>
      <c r="M310" s="1">
        <v>46249</v>
      </c>
      <c r="N310" s="1">
        <v>31696</v>
      </c>
      <c r="O310">
        <f>DATEDIF(Sales_Data[[#This Row],[Date of Birth]],Sales_Data[[#This Row],[Order Date]],"y")</f>
        <v>39</v>
      </c>
      <c r="P310" t="str" cm="1">
        <f t="array" ref="P310">_xlfn.IFS(Sales_Data[[#This Row],[Age ]]&lt;=30,"Young Adult",Sales_Data[[#This Row],[Age ]]&lt;=45,"Senior",Sales_Data[[#This Row],[Age ]]&lt;=60,"Adult",Sales_Data[[#This Row],[Age ]]&gt;=61,"Elderly")</f>
        <v>Senior</v>
      </c>
    </row>
    <row r="311" spans="1:16" x14ac:dyDescent="0.3">
      <c r="A311" t="s">
        <v>360</v>
      </c>
      <c r="B311" t="s">
        <v>29</v>
      </c>
      <c r="C311" t="s">
        <v>46</v>
      </c>
      <c r="D311" t="s">
        <v>30</v>
      </c>
      <c r="E311" t="s">
        <v>31</v>
      </c>
      <c r="F311">
        <v>11</v>
      </c>
      <c r="G311" s="2">
        <v>330</v>
      </c>
      <c r="H311" s="2">
        <v>3630</v>
      </c>
      <c r="I311" t="s">
        <v>15</v>
      </c>
      <c r="J311" t="s">
        <v>34</v>
      </c>
      <c r="K311" t="str">
        <f>TEXT(Sales_Data[[#This Row],[Order Date]],"yyyy")</f>
        <v>2026</v>
      </c>
      <c r="L311" t="str">
        <f>TEXT(Sales_Data[[#This Row],[Order Date]],"mmmm")</f>
        <v>February</v>
      </c>
      <c r="M311" s="1">
        <v>46074</v>
      </c>
      <c r="N311" s="1">
        <v>27253</v>
      </c>
      <c r="O311">
        <f>DATEDIF(Sales_Data[[#This Row],[Date of Birth]],Sales_Data[[#This Row],[Order Date]],"y")</f>
        <v>51</v>
      </c>
      <c r="P311" t="str" cm="1">
        <f t="array" ref="P311">_xlfn.IFS(Sales_Data[[#This Row],[Age ]]&lt;=30,"Young Adult",Sales_Data[[#This Row],[Age ]]&lt;=45,"Senior",Sales_Data[[#This Row],[Age ]]&lt;=60,"Adult",Sales_Data[[#This Row],[Age ]]&gt;=61,"Elderly")</f>
        <v>Adult</v>
      </c>
    </row>
    <row r="312" spans="1:16" x14ac:dyDescent="0.3">
      <c r="A312" t="s">
        <v>361</v>
      </c>
      <c r="B312" t="s">
        <v>11</v>
      </c>
      <c r="C312" t="s">
        <v>42</v>
      </c>
      <c r="D312" t="s">
        <v>30</v>
      </c>
      <c r="E312" t="s">
        <v>57</v>
      </c>
      <c r="F312">
        <v>26</v>
      </c>
      <c r="G312" s="2">
        <v>690</v>
      </c>
      <c r="H312" s="2">
        <v>17940</v>
      </c>
      <c r="I312" t="s">
        <v>15</v>
      </c>
      <c r="J312" t="s">
        <v>16</v>
      </c>
      <c r="K312" t="str">
        <f>TEXT(Sales_Data[[#This Row],[Order Date]],"yyyy")</f>
        <v>2026</v>
      </c>
      <c r="L312" t="str">
        <f>TEXT(Sales_Data[[#This Row],[Order Date]],"mmmm")</f>
        <v>May</v>
      </c>
      <c r="M312" s="1">
        <v>46166</v>
      </c>
      <c r="N312" s="1">
        <v>32577</v>
      </c>
      <c r="O312">
        <f>DATEDIF(Sales_Data[[#This Row],[Date of Birth]],Sales_Data[[#This Row],[Order Date]],"y")</f>
        <v>37</v>
      </c>
      <c r="P312" t="str" cm="1">
        <f t="array" ref="P312">_xlfn.IFS(Sales_Data[[#This Row],[Age ]]&lt;=30,"Young Adult",Sales_Data[[#This Row],[Age ]]&lt;=45,"Senior",Sales_Data[[#This Row],[Age ]]&lt;=60,"Adult",Sales_Data[[#This Row],[Age ]]&gt;=61,"Elderly")</f>
        <v>Senior</v>
      </c>
    </row>
    <row r="313" spans="1:16" x14ac:dyDescent="0.3">
      <c r="A313" t="s">
        <v>362</v>
      </c>
      <c r="B313" t="s">
        <v>11</v>
      </c>
      <c r="C313" t="s">
        <v>55</v>
      </c>
      <c r="D313" t="s">
        <v>13</v>
      </c>
      <c r="E313" t="s">
        <v>14</v>
      </c>
      <c r="F313">
        <v>14</v>
      </c>
      <c r="G313" s="2">
        <v>1076</v>
      </c>
      <c r="H313" s="2">
        <v>15064</v>
      </c>
      <c r="I313" t="s">
        <v>15</v>
      </c>
      <c r="J313" t="s">
        <v>23</v>
      </c>
      <c r="K313" t="str">
        <f>TEXT(Sales_Data[[#This Row],[Order Date]],"yyyy")</f>
        <v>2026</v>
      </c>
      <c r="L313" t="str">
        <f>TEXT(Sales_Data[[#This Row],[Order Date]],"mmmm")</f>
        <v>February</v>
      </c>
      <c r="M313" s="1">
        <v>46058</v>
      </c>
      <c r="N313" s="1">
        <v>25910</v>
      </c>
      <c r="O313">
        <f>DATEDIF(Sales_Data[[#This Row],[Date of Birth]],Sales_Data[[#This Row],[Order Date]],"y")</f>
        <v>55</v>
      </c>
      <c r="P313" t="str" cm="1">
        <f t="array" ref="P313">_xlfn.IFS(Sales_Data[[#This Row],[Age ]]&lt;=30,"Young Adult",Sales_Data[[#This Row],[Age ]]&lt;=45,"Senior",Sales_Data[[#This Row],[Age ]]&lt;=60,"Adult",Sales_Data[[#This Row],[Age ]]&gt;=61,"Elderly")</f>
        <v>Adult</v>
      </c>
    </row>
    <row r="314" spans="1:16" x14ac:dyDescent="0.3">
      <c r="A314" t="s">
        <v>363</v>
      </c>
      <c r="B314" t="s">
        <v>18</v>
      </c>
      <c r="C314" t="s">
        <v>19</v>
      </c>
      <c r="D314" t="s">
        <v>66</v>
      </c>
      <c r="E314" t="s">
        <v>67</v>
      </c>
      <c r="F314">
        <v>28</v>
      </c>
      <c r="G314" s="2">
        <v>46</v>
      </c>
      <c r="H314" s="2">
        <v>1288</v>
      </c>
      <c r="I314" t="s">
        <v>22</v>
      </c>
      <c r="J314" t="s">
        <v>23</v>
      </c>
      <c r="K314" t="str">
        <f>TEXT(Sales_Data[[#This Row],[Order Date]],"yyyy")</f>
        <v>2026</v>
      </c>
      <c r="L314" t="str">
        <f>TEXT(Sales_Data[[#This Row],[Order Date]],"mmmm")</f>
        <v>March</v>
      </c>
      <c r="M314" s="1">
        <v>46097</v>
      </c>
      <c r="N314" s="1">
        <v>35594</v>
      </c>
      <c r="O314">
        <f>DATEDIF(Sales_Data[[#This Row],[Date of Birth]],Sales_Data[[#This Row],[Order Date]],"y")</f>
        <v>28</v>
      </c>
      <c r="P314" t="str" cm="1">
        <f t="array" ref="P314">_xlfn.IFS(Sales_Data[[#This Row],[Age ]]&lt;=30,"Young Adult",Sales_Data[[#This Row],[Age ]]&lt;=45,"Senior",Sales_Data[[#This Row],[Age ]]&lt;=60,"Adult",Sales_Data[[#This Row],[Age ]]&gt;=61,"Elderly")</f>
        <v>Young Adult</v>
      </c>
    </row>
    <row r="315" spans="1:16" x14ac:dyDescent="0.3">
      <c r="A315" t="s">
        <v>364</v>
      </c>
      <c r="B315" t="s">
        <v>25</v>
      </c>
      <c r="C315" t="s">
        <v>65</v>
      </c>
      <c r="D315" t="s">
        <v>13</v>
      </c>
      <c r="E315" t="s">
        <v>14</v>
      </c>
      <c r="F315">
        <v>21</v>
      </c>
      <c r="G315" s="2">
        <v>852</v>
      </c>
      <c r="H315" s="2">
        <v>17892</v>
      </c>
      <c r="I315" t="s">
        <v>15</v>
      </c>
      <c r="J315" t="s">
        <v>23</v>
      </c>
      <c r="K315" t="str">
        <f>TEXT(Sales_Data[[#This Row],[Order Date]],"yyyy")</f>
        <v>2026</v>
      </c>
      <c r="L315" t="str">
        <f>TEXT(Sales_Data[[#This Row],[Order Date]],"mmmm")</f>
        <v>May</v>
      </c>
      <c r="M315" s="1">
        <v>46147</v>
      </c>
      <c r="N315" s="1">
        <v>38199</v>
      </c>
      <c r="O315">
        <f>DATEDIF(Sales_Data[[#This Row],[Date of Birth]],Sales_Data[[#This Row],[Order Date]],"y")</f>
        <v>21</v>
      </c>
      <c r="P315" t="str" cm="1">
        <f t="array" ref="P315">_xlfn.IFS(Sales_Data[[#This Row],[Age ]]&lt;=30,"Young Adult",Sales_Data[[#This Row],[Age ]]&lt;=45,"Senior",Sales_Data[[#This Row],[Age ]]&lt;=60,"Adult",Sales_Data[[#This Row],[Age ]]&gt;=61,"Elderly")</f>
        <v>Young Adult</v>
      </c>
    </row>
    <row r="316" spans="1:16" x14ac:dyDescent="0.3">
      <c r="A316" t="s">
        <v>365</v>
      </c>
      <c r="B316" t="s">
        <v>11</v>
      </c>
      <c r="C316" t="s">
        <v>65</v>
      </c>
      <c r="D316" t="s">
        <v>13</v>
      </c>
      <c r="E316" t="s">
        <v>49</v>
      </c>
      <c r="F316">
        <v>42</v>
      </c>
      <c r="G316" s="2">
        <v>436</v>
      </c>
      <c r="H316" s="2">
        <v>18312</v>
      </c>
      <c r="I316" t="s">
        <v>22</v>
      </c>
      <c r="J316" t="s">
        <v>16</v>
      </c>
      <c r="K316" t="str">
        <f>TEXT(Sales_Data[[#This Row],[Order Date]],"yyyy")</f>
        <v>2026</v>
      </c>
      <c r="L316" t="str">
        <f>TEXT(Sales_Data[[#This Row],[Order Date]],"mmmm")</f>
        <v>August</v>
      </c>
      <c r="M316" s="1">
        <v>46246</v>
      </c>
      <c r="N316" s="1">
        <v>33098</v>
      </c>
      <c r="O316">
        <f>DATEDIF(Sales_Data[[#This Row],[Date of Birth]],Sales_Data[[#This Row],[Order Date]],"y")</f>
        <v>35</v>
      </c>
      <c r="P316" t="str" cm="1">
        <f t="array" ref="P316">_xlfn.IFS(Sales_Data[[#This Row],[Age ]]&lt;=30,"Young Adult",Sales_Data[[#This Row],[Age ]]&lt;=45,"Senior",Sales_Data[[#This Row],[Age ]]&lt;=60,"Adult",Sales_Data[[#This Row],[Age ]]&gt;=61,"Elderly")</f>
        <v>Senior</v>
      </c>
    </row>
    <row r="317" spans="1:16" x14ac:dyDescent="0.3">
      <c r="A317" t="s">
        <v>366</v>
      </c>
      <c r="B317" t="s">
        <v>18</v>
      </c>
      <c r="C317" t="s">
        <v>42</v>
      </c>
      <c r="D317" t="s">
        <v>20</v>
      </c>
      <c r="E317" t="s">
        <v>43</v>
      </c>
      <c r="F317">
        <v>6</v>
      </c>
      <c r="G317" s="2">
        <v>285</v>
      </c>
      <c r="H317" s="2">
        <v>1710</v>
      </c>
      <c r="I317" t="s">
        <v>22</v>
      </c>
      <c r="J317" t="s">
        <v>34</v>
      </c>
      <c r="K317" t="str">
        <f>TEXT(Sales_Data[[#This Row],[Order Date]],"yyyy")</f>
        <v>2026</v>
      </c>
      <c r="L317" t="str">
        <f>TEXT(Sales_Data[[#This Row],[Order Date]],"mmmm")</f>
        <v>March</v>
      </c>
      <c r="M317" s="1">
        <v>46106</v>
      </c>
      <c r="N317" s="1">
        <v>33183</v>
      </c>
      <c r="O317">
        <f>DATEDIF(Sales_Data[[#This Row],[Date of Birth]],Sales_Data[[#This Row],[Order Date]],"y")</f>
        <v>35</v>
      </c>
      <c r="P317" t="str" cm="1">
        <f t="array" ref="P317">_xlfn.IFS(Sales_Data[[#This Row],[Age ]]&lt;=30,"Young Adult",Sales_Data[[#This Row],[Age ]]&lt;=45,"Senior",Sales_Data[[#This Row],[Age ]]&lt;=60,"Adult",Sales_Data[[#This Row],[Age ]]&gt;=61,"Elderly")</f>
        <v>Senior</v>
      </c>
    </row>
    <row r="318" spans="1:16" x14ac:dyDescent="0.3">
      <c r="A318" t="s">
        <v>367</v>
      </c>
      <c r="B318" t="s">
        <v>11</v>
      </c>
      <c r="C318" t="s">
        <v>46</v>
      </c>
      <c r="D318" t="s">
        <v>66</v>
      </c>
      <c r="E318" t="s">
        <v>83</v>
      </c>
      <c r="F318">
        <v>16</v>
      </c>
      <c r="G318" s="2">
        <v>19</v>
      </c>
      <c r="H318" s="2">
        <v>304</v>
      </c>
      <c r="I318" t="s">
        <v>15</v>
      </c>
      <c r="J318" t="s">
        <v>16</v>
      </c>
      <c r="K318" t="str">
        <f>TEXT(Sales_Data[[#This Row],[Order Date]],"yyyy")</f>
        <v>2026</v>
      </c>
      <c r="L318" t="str">
        <f>TEXT(Sales_Data[[#This Row],[Order Date]],"mmmm")</f>
        <v>November</v>
      </c>
      <c r="M318" s="1">
        <v>46329</v>
      </c>
      <c r="N318" s="1">
        <v>31487</v>
      </c>
      <c r="O318">
        <f>DATEDIF(Sales_Data[[#This Row],[Date of Birth]],Sales_Data[[#This Row],[Order Date]],"y")</f>
        <v>40</v>
      </c>
      <c r="P318" t="str" cm="1">
        <f t="array" ref="P318">_xlfn.IFS(Sales_Data[[#This Row],[Age ]]&lt;=30,"Young Adult",Sales_Data[[#This Row],[Age ]]&lt;=45,"Senior",Sales_Data[[#This Row],[Age ]]&lt;=60,"Adult",Sales_Data[[#This Row],[Age ]]&gt;=61,"Elderly")</f>
        <v>Senior</v>
      </c>
    </row>
    <row r="319" spans="1:16" x14ac:dyDescent="0.3">
      <c r="A319" t="s">
        <v>368</v>
      </c>
      <c r="B319" t="s">
        <v>25</v>
      </c>
      <c r="C319" t="s">
        <v>46</v>
      </c>
      <c r="D319" t="s">
        <v>66</v>
      </c>
      <c r="E319" t="s">
        <v>83</v>
      </c>
      <c r="F319">
        <v>34</v>
      </c>
      <c r="G319" s="2">
        <v>40</v>
      </c>
      <c r="H319" s="2">
        <v>1360</v>
      </c>
      <c r="I319" t="s">
        <v>15</v>
      </c>
      <c r="J319" t="s">
        <v>23</v>
      </c>
      <c r="K319" t="str">
        <f>TEXT(Sales_Data[[#This Row],[Order Date]],"yyyy")</f>
        <v>2026</v>
      </c>
      <c r="L319" t="str">
        <f>TEXT(Sales_Data[[#This Row],[Order Date]],"mmmm")</f>
        <v>September</v>
      </c>
      <c r="M319" s="1">
        <v>46272</v>
      </c>
      <c r="N319" s="1">
        <v>27724</v>
      </c>
      <c r="O319">
        <f>DATEDIF(Sales_Data[[#This Row],[Date of Birth]],Sales_Data[[#This Row],[Order Date]],"y")</f>
        <v>50</v>
      </c>
      <c r="P319" t="str" cm="1">
        <f t="array" ref="P319">_xlfn.IFS(Sales_Data[[#This Row],[Age ]]&lt;=30,"Young Adult",Sales_Data[[#This Row],[Age ]]&lt;=45,"Senior",Sales_Data[[#This Row],[Age ]]&lt;=60,"Adult",Sales_Data[[#This Row],[Age ]]&gt;=61,"Elderly")</f>
        <v>Adult</v>
      </c>
    </row>
    <row r="320" spans="1:16" x14ac:dyDescent="0.3">
      <c r="A320" t="s">
        <v>369</v>
      </c>
      <c r="B320" t="s">
        <v>18</v>
      </c>
      <c r="C320" t="s">
        <v>69</v>
      </c>
      <c r="D320" t="s">
        <v>20</v>
      </c>
      <c r="E320" t="s">
        <v>104</v>
      </c>
      <c r="F320">
        <v>8</v>
      </c>
      <c r="G320" s="2">
        <v>573</v>
      </c>
      <c r="H320" s="2">
        <v>4584</v>
      </c>
      <c r="I320" t="s">
        <v>22</v>
      </c>
      <c r="J320" t="s">
        <v>34</v>
      </c>
      <c r="K320" t="str">
        <f>TEXT(Sales_Data[[#This Row],[Order Date]],"yyyy")</f>
        <v>2026</v>
      </c>
      <c r="L320" t="str">
        <f>TEXT(Sales_Data[[#This Row],[Order Date]],"mmmm")</f>
        <v>August</v>
      </c>
      <c r="M320" s="1">
        <v>46255</v>
      </c>
      <c r="N320" s="1">
        <v>36598</v>
      </c>
      <c r="O320">
        <f>DATEDIF(Sales_Data[[#This Row],[Date of Birth]],Sales_Data[[#This Row],[Order Date]],"y")</f>
        <v>26</v>
      </c>
      <c r="P320" t="str" cm="1">
        <f t="array" ref="P320">_xlfn.IFS(Sales_Data[[#This Row],[Age ]]&lt;=30,"Young Adult",Sales_Data[[#This Row],[Age ]]&lt;=45,"Senior",Sales_Data[[#This Row],[Age ]]&lt;=60,"Adult",Sales_Data[[#This Row],[Age ]]&gt;=61,"Elderly")</f>
        <v>Young Adult</v>
      </c>
    </row>
    <row r="321" spans="1:16" x14ac:dyDescent="0.3">
      <c r="A321" t="s">
        <v>370</v>
      </c>
      <c r="B321" t="s">
        <v>11</v>
      </c>
      <c r="C321" t="s">
        <v>55</v>
      </c>
      <c r="D321" t="s">
        <v>30</v>
      </c>
      <c r="E321" t="s">
        <v>47</v>
      </c>
      <c r="F321">
        <v>37</v>
      </c>
      <c r="G321" s="2">
        <v>480</v>
      </c>
      <c r="H321" s="2">
        <v>17760</v>
      </c>
      <c r="I321" t="s">
        <v>15</v>
      </c>
      <c r="J321" t="s">
        <v>23</v>
      </c>
      <c r="K321" t="str">
        <f>TEXT(Sales_Data[[#This Row],[Order Date]],"yyyy")</f>
        <v>2026</v>
      </c>
      <c r="L321" t="str">
        <f>TEXT(Sales_Data[[#This Row],[Order Date]],"mmmm")</f>
        <v>June</v>
      </c>
      <c r="M321" s="1">
        <v>46191</v>
      </c>
      <c r="N321" s="1">
        <v>31492</v>
      </c>
      <c r="O321">
        <f>DATEDIF(Sales_Data[[#This Row],[Date of Birth]],Sales_Data[[#This Row],[Order Date]],"y")</f>
        <v>40</v>
      </c>
      <c r="P321" t="str" cm="1">
        <f t="array" ref="P321">_xlfn.IFS(Sales_Data[[#This Row],[Age ]]&lt;=30,"Young Adult",Sales_Data[[#This Row],[Age ]]&lt;=45,"Senior",Sales_Data[[#This Row],[Age ]]&lt;=60,"Adult",Sales_Data[[#This Row],[Age ]]&gt;=61,"Elderly")</f>
        <v>Senior</v>
      </c>
    </row>
    <row r="322" spans="1:16" x14ac:dyDescent="0.3">
      <c r="A322" t="s">
        <v>371</v>
      </c>
      <c r="B322" t="s">
        <v>25</v>
      </c>
      <c r="C322" t="s">
        <v>46</v>
      </c>
      <c r="D322" t="s">
        <v>13</v>
      </c>
      <c r="E322" t="s">
        <v>14</v>
      </c>
      <c r="F322">
        <v>17</v>
      </c>
      <c r="G322" s="2">
        <v>541</v>
      </c>
      <c r="H322" s="2">
        <v>9197</v>
      </c>
      <c r="I322" t="s">
        <v>22</v>
      </c>
      <c r="J322" t="s">
        <v>34</v>
      </c>
      <c r="K322" t="str">
        <f>TEXT(Sales_Data[[#This Row],[Order Date]],"yyyy")</f>
        <v>2026</v>
      </c>
      <c r="L322" t="str">
        <f>TEXT(Sales_Data[[#This Row],[Order Date]],"mmmm")</f>
        <v>January</v>
      </c>
      <c r="M322" s="1">
        <v>46024</v>
      </c>
      <c r="N322" s="1">
        <v>36973</v>
      </c>
      <c r="O322">
        <f>DATEDIF(Sales_Data[[#This Row],[Date of Birth]],Sales_Data[[#This Row],[Order Date]],"y")</f>
        <v>24</v>
      </c>
      <c r="P322" t="str" cm="1">
        <f t="array" ref="P322">_xlfn.IFS(Sales_Data[[#This Row],[Age ]]&lt;=30,"Young Adult",Sales_Data[[#This Row],[Age ]]&lt;=45,"Senior",Sales_Data[[#This Row],[Age ]]&lt;=60,"Adult",Sales_Data[[#This Row],[Age ]]&gt;=61,"Elderly")</f>
        <v>Young Adult</v>
      </c>
    </row>
    <row r="323" spans="1:16" x14ac:dyDescent="0.3">
      <c r="A323" t="s">
        <v>372</v>
      </c>
      <c r="B323" t="s">
        <v>11</v>
      </c>
      <c r="C323" t="s">
        <v>46</v>
      </c>
      <c r="D323" t="s">
        <v>20</v>
      </c>
      <c r="E323" t="s">
        <v>21</v>
      </c>
      <c r="F323">
        <v>41</v>
      </c>
      <c r="G323" s="2">
        <v>1178</v>
      </c>
      <c r="H323" s="2">
        <v>48298</v>
      </c>
      <c r="I323" t="s">
        <v>15</v>
      </c>
      <c r="J323" t="s">
        <v>34</v>
      </c>
      <c r="K323" t="str">
        <f>TEXT(Sales_Data[[#This Row],[Order Date]],"yyyy")</f>
        <v>2026</v>
      </c>
      <c r="L323" t="str">
        <f>TEXT(Sales_Data[[#This Row],[Order Date]],"mmmm")</f>
        <v>September</v>
      </c>
      <c r="M323" s="1">
        <v>46285</v>
      </c>
      <c r="N323" s="1">
        <v>30412</v>
      </c>
      <c r="O323">
        <f>DATEDIF(Sales_Data[[#This Row],[Date of Birth]],Sales_Data[[#This Row],[Order Date]],"y")</f>
        <v>43</v>
      </c>
      <c r="P323" t="str" cm="1">
        <f t="array" ref="P323">_xlfn.IFS(Sales_Data[[#This Row],[Age ]]&lt;=30,"Young Adult",Sales_Data[[#This Row],[Age ]]&lt;=45,"Senior",Sales_Data[[#This Row],[Age ]]&lt;=60,"Adult",Sales_Data[[#This Row],[Age ]]&gt;=61,"Elderly")</f>
        <v>Senior</v>
      </c>
    </row>
    <row r="324" spans="1:16" x14ac:dyDescent="0.3">
      <c r="A324" t="s">
        <v>373</v>
      </c>
      <c r="B324" t="s">
        <v>25</v>
      </c>
      <c r="C324" t="s">
        <v>12</v>
      </c>
      <c r="D324" t="s">
        <v>13</v>
      </c>
      <c r="E324" t="s">
        <v>49</v>
      </c>
      <c r="F324">
        <v>14</v>
      </c>
      <c r="G324" s="2">
        <v>418</v>
      </c>
      <c r="H324" s="2">
        <v>5852</v>
      </c>
      <c r="I324" t="s">
        <v>22</v>
      </c>
      <c r="J324" t="s">
        <v>16</v>
      </c>
      <c r="K324" t="str">
        <f>TEXT(Sales_Data[[#This Row],[Order Date]],"yyyy")</f>
        <v>2026</v>
      </c>
      <c r="L324" t="str">
        <f>TEXT(Sales_Data[[#This Row],[Order Date]],"mmmm")</f>
        <v>September</v>
      </c>
      <c r="M324" s="1">
        <v>46276</v>
      </c>
      <c r="N324" s="1">
        <v>26862</v>
      </c>
      <c r="O324">
        <f>DATEDIF(Sales_Data[[#This Row],[Date of Birth]],Sales_Data[[#This Row],[Order Date]],"y")</f>
        <v>53</v>
      </c>
      <c r="P324" t="str" cm="1">
        <f t="array" ref="P324">_xlfn.IFS(Sales_Data[[#This Row],[Age ]]&lt;=30,"Young Adult",Sales_Data[[#This Row],[Age ]]&lt;=45,"Senior",Sales_Data[[#This Row],[Age ]]&lt;=60,"Adult",Sales_Data[[#This Row],[Age ]]&gt;=61,"Elderly")</f>
        <v>Adult</v>
      </c>
    </row>
    <row r="325" spans="1:16" x14ac:dyDescent="0.3">
      <c r="A325" t="s">
        <v>374</v>
      </c>
      <c r="B325" t="s">
        <v>18</v>
      </c>
      <c r="C325" t="s">
        <v>55</v>
      </c>
      <c r="D325" t="s">
        <v>20</v>
      </c>
      <c r="E325" t="s">
        <v>43</v>
      </c>
      <c r="F325">
        <v>4</v>
      </c>
      <c r="G325" s="2">
        <v>580</v>
      </c>
      <c r="H325" s="2">
        <v>2320</v>
      </c>
      <c r="I325" t="s">
        <v>15</v>
      </c>
      <c r="J325" t="s">
        <v>34</v>
      </c>
      <c r="K325" t="str">
        <f>TEXT(Sales_Data[[#This Row],[Order Date]],"yyyy")</f>
        <v>2026</v>
      </c>
      <c r="L325" t="str">
        <f>TEXT(Sales_Data[[#This Row],[Order Date]],"mmmm")</f>
        <v>February</v>
      </c>
      <c r="M325" s="1">
        <v>46067</v>
      </c>
      <c r="N325" s="1">
        <v>25288</v>
      </c>
      <c r="O325">
        <f>DATEDIF(Sales_Data[[#This Row],[Date of Birth]],Sales_Data[[#This Row],[Order Date]],"y")</f>
        <v>56</v>
      </c>
      <c r="P325" t="str" cm="1">
        <f t="array" ref="P325">_xlfn.IFS(Sales_Data[[#This Row],[Age ]]&lt;=30,"Young Adult",Sales_Data[[#This Row],[Age ]]&lt;=45,"Senior",Sales_Data[[#This Row],[Age ]]&lt;=60,"Adult",Sales_Data[[#This Row],[Age ]]&gt;=61,"Elderly")</f>
        <v>Adult</v>
      </c>
    </row>
    <row r="326" spans="1:16" x14ac:dyDescent="0.3">
      <c r="A326" t="s">
        <v>375</v>
      </c>
      <c r="B326" t="s">
        <v>18</v>
      </c>
      <c r="C326" t="s">
        <v>65</v>
      </c>
      <c r="D326" t="s">
        <v>30</v>
      </c>
      <c r="E326" t="s">
        <v>57</v>
      </c>
      <c r="F326">
        <v>1</v>
      </c>
      <c r="G326" s="2">
        <v>774</v>
      </c>
      <c r="H326" s="2">
        <v>774</v>
      </c>
      <c r="I326" t="s">
        <v>22</v>
      </c>
      <c r="J326" t="s">
        <v>34</v>
      </c>
      <c r="K326" t="str">
        <f>TEXT(Sales_Data[[#This Row],[Order Date]],"yyyy")</f>
        <v>2026</v>
      </c>
      <c r="L326" t="str">
        <f>TEXT(Sales_Data[[#This Row],[Order Date]],"mmmm")</f>
        <v>March</v>
      </c>
      <c r="M326" s="1">
        <v>46104</v>
      </c>
      <c r="N326" s="1">
        <v>25331</v>
      </c>
      <c r="O326">
        <f>DATEDIF(Sales_Data[[#This Row],[Date of Birth]],Sales_Data[[#This Row],[Order Date]],"y")</f>
        <v>56</v>
      </c>
      <c r="P326" t="str" cm="1">
        <f t="array" ref="P326">_xlfn.IFS(Sales_Data[[#This Row],[Age ]]&lt;=30,"Young Adult",Sales_Data[[#This Row],[Age ]]&lt;=45,"Senior",Sales_Data[[#This Row],[Age ]]&lt;=60,"Adult",Sales_Data[[#This Row],[Age ]]&gt;=61,"Elderly")</f>
        <v>Adult</v>
      </c>
    </row>
    <row r="327" spans="1:16" x14ac:dyDescent="0.3">
      <c r="A327" t="s">
        <v>376</v>
      </c>
      <c r="B327" t="s">
        <v>29</v>
      </c>
      <c r="C327" t="s">
        <v>12</v>
      </c>
      <c r="D327" t="s">
        <v>66</v>
      </c>
      <c r="E327" t="s">
        <v>83</v>
      </c>
      <c r="F327">
        <v>24</v>
      </c>
      <c r="G327" s="2">
        <v>10</v>
      </c>
      <c r="H327" s="2">
        <v>240</v>
      </c>
      <c r="I327" t="s">
        <v>15</v>
      </c>
      <c r="J327" t="s">
        <v>34</v>
      </c>
      <c r="K327" t="str">
        <f>TEXT(Sales_Data[[#This Row],[Order Date]],"yyyy")</f>
        <v>2026</v>
      </c>
      <c r="L327" t="str">
        <f>TEXT(Sales_Data[[#This Row],[Order Date]],"mmmm")</f>
        <v>December</v>
      </c>
      <c r="M327" s="1">
        <v>46381</v>
      </c>
      <c r="N327" s="1">
        <v>34539</v>
      </c>
      <c r="O327">
        <f>DATEDIF(Sales_Data[[#This Row],[Date of Birth]],Sales_Data[[#This Row],[Order Date]],"y")</f>
        <v>32</v>
      </c>
      <c r="P327" t="str" cm="1">
        <f t="array" ref="P327">_xlfn.IFS(Sales_Data[[#This Row],[Age ]]&lt;=30,"Young Adult",Sales_Data[[#This Row],[Age ]]&lt;=45,"Senior",Sales_Data[[#This Row],[Age ]]&lt;=60,"Adult",Sales_Data[[#This Row],[Age ]]&gt;=61,"Elderly")</f>
        <v>Senior</v>
      </c>
    </row>
    <row r="328" spans="1:16" x14ac:dyDescent="0.3">
      <c r="A328" t="s">
        <v>377</v>
      </c>
      <c r="B328" t="s">
        <v>18</v>
      </c>
      <c r="C328" t="s">
        <v>55</v>
      </c>
      <c r="D328" t="s">
        <v>20</v>
      </c>
      <c r="E328" t="s">
        <v>36</v>
      </c>
      <c r="F328">
        <v>34</v>
      </c>
      <c r="G328" s="2">
        <v>210</v>
      </c>
      <c r="H328" s="2">
        <v>7140</v>
      </c>
      <c r="I328" t="s">
        <v>22</v>
      </c>
      <c r="J328" t="s">
        <v>16</v>
      </c>
      <c r="K328" t="str">
        <f>TEXT(Sales_Data[[#This Row],[Order Date]],"yyyy")</f>
        <v>2026</v>
      </c>
      <c r="L328" t="str">
        <f>TEXT(Sales_Data[[#This Row],[Order Date]],"mmmm")</f>
        <v>May</v>
      </c>
      <c r="M328" s="1">
        <v>46165</v>
      </c>
      <c r="N328" s="1">
        <v>30805</v>
      </c>
      <c r="O328">
        <f>DATEDIF(Sales_Data[[#This Row],[Date of Birth]],Sales_Data[[#This Row],[Order Date]],"y")</f>
        <v>42</v>
      </c>
      <c r="P328" t="str" cm="1">
        <f t="array" ref="P328">_xlfn.IFS(Sales_Data[[#This Row],[Age ]]&lt;=30,"Young Adult",Sales_Data[[#This Row],[Age ]]&lt;=45,"Senior",Sales_Data[[#This Row],[Age ]]&lt;=60,"Adult",Sales_Data[[#This Row],[Age ]]&gt;=61,"Elderly")</f>
        <v>Senior</v>
      </c>
    </row>
    <row r="329" spans="1:16" x14ac:dyDescent="0.3">
      <c r="A329" t="s">
        <v>378</v>
      </c>
      <c r="B329" t="s">
        <v>11</v>
      </c>
      <c r="C329" t="s">
        <v>46</v>
      </c>
      <c r="D329" t="s">
        <v>66</v>
      </c>
      <c r="E329" t="s">
        <v>67</v>
      </c>
      <c r="F329">
        <v>32</v>
      </c>
      <c r="G329" s="2">
        <v>38</v>
      </c>
      <c r="H329" s="2">
        <v>1216</v>
      </c>
      <c r="I329" t="s">
        <v>15</v>
      </c>
      <c r="J329" t="s">
        <v>16</v>
      </c>
      <c r="K329" t="str">
        <f>TEXT(Sales_Data[[#This Row],[Order Date]],"yyyy")</f>
        <v>2026</v>
      </c>
      <c r="L329" t="str">
        <f>TEXT(Sales_Data[[#This Row],[Order Date]],"mmmm")</f>
        <v>March</v>
      </c>
      <c r="M329" s="1">
        <v>46093</v>
      </c>
      <c r="N329" s="1">
        <v>29547</v>
      </c>
      <c r="O329">
        <f>DATEDIF(Sales_Data[[#This Row],[Date of Birth]],Sales_Data[[#This Row],[Order Date]],"y")</f>
        <v>45</v>
      </c>
      <c r="P329" t="str" cm="1">
        <f t="array" ref="P329">_xlfn.IFS(Sales_Data[[#This Row],[Age ]]&lt;=30,"Young Adult",Sales_Data[[#This Row],[Age ]]&lt;=45,"Senior",Sales_Data[[#This Row],[Age ]]&lt;=60,"Adult",Sales_Data[[#This Row],[Age ]]&gt;=61,"Elderly")</f>
        <v>Senior</v>
      </c>
    </row>
    <row r="330" spans="1:16" x14ac:dyDescent="0.3">
      <c r="A330" t="s">
        <v>379</v>
      </c>
      <c r="B330" t="s">
        <v>18</v>
      </c>
      <c r="C330" t="s">
        <v>19</v>
      </c>
      <c r="D330" t="s">
        <v>13</v>
      </c>
      <c r="E330" t="s">
        <v>59</v>
      </c>
      <c r="F330">
        <v>48</v>
      </c>
      <c r="G330" s="2">
        <v>1142</v>
      </c>
      <c r="H330" s="2">
        <v>54816</v>
      </c>
      <c r="I330" t="s">
        <v>15</v>
      </c>
      <c r="J330" t="s">
        <v>34</v>
      </c>
      <c r="K330" t="str">
        <f>TEXT(Sales_Data[[#This Row],[Order Date]],"yyyy")</f>
        <v>2026</v>
      </c>
      <c r="L330" t="str">
        <f>TEXT(Sales_Data[[#This Row],[Order Date]],"mmmm")</f>
        <v>January</v>
      </c>
      <c r="M330" s="1">
        <v>46024</v>
      </c>
      <c r="N330" s="1">
        <v>30682</v>
      </c>
      <c r="O330">
        <f>DATEDIF(Sales_Data[[#This Row],[Date of Birth]],Sales_Data[[#This Row],[Order Date]],"y")</f>
        <v>42</v>
      </c>
      <c r="P330" t="str" cm="1">
        <f t="array" ref="P330">_xlfn.IFS(Sales_Data[[#This Row],[Age ]]&lt;=30,"Young Adult",Sales_Data[[#This Row],[Age ]]&lt;=45,"Senior",Sales_Data[[#This Row],[Age ]]&lt;=60,"Adult",Sales_Data[[#This Row],[Age ]]&gt;=61,"Elderly")</f>
        <v>Senior</v>
      </c>
    </row>
    <row r="331" spans="1:16" x14ac:dyDescent="0.3">
      <c r="A331" t="s">
        <v>380</v>
      </c>
      <c r="B331" t="s">
        <v>25</v>
      </c>
      <c r="C331" t="s">
        <v>19</v>
      </c>
      <c r="D331" t="s">
        <v>66</v>
      </c>
      <c r="E331" t="s">
        <v>70</v>
      </c>
      <c r="F331">
        <v>10</v>
      </c>
      <c r="G331" s="2">
        <v>13</v>
      </c>
      <c r="H331" s="2">
        <v>130</v>
      </c>
      <c r="I331" t="s">
        <v>22</v>
      </c>
      <c r="J331" t="s">
        <v>23</v>
      </c>
      <c r="K331" t="str">
        <f>TEXT(Sales_Data[[#This Row],[Order Date]],"yyyy")</f>
        <v>2026</v>
      </c>
      <c r="L331" t="str">
        <f>TEXT(Sales_Data[[#This Row],[Order Date]],"mmmm")</f>
        <v>January</v>
      </c>
      <c r="M331" s="1">
        <v>46040</v>
      </c>
      <c r="N331" s="1">
        <v>30478</v>
      </c>
      <c r="O331">
        <f>DATEDIF(Sales_Data[[#This Row],[Date of Birth]],Sales_Data[[#This Row],[Order Date]],"y")</f>
        <v>42</v>
      </c>
      <c r="P331" t="str" cm="1">
        <f t="array" ref="P331">_xlfn.IFS(Sales_Data[[#This Row],[Age ]]&lt;=30,"Young Adult",Sales_Data[[#This Row],[Age ]]&lt;=45,"Senior",Sales_Data[[#This Row],[Age ]]&lt;=60,"Adult",Sales_Data[[#This Row],[Age ]]&gt;=61,"Elderly")</f>
        <v>Senior</v>
      </c>
    </row>
    <row r="332" spans="1:16" x14ac:dyDescent="0.3">
      <c r="A332" t="s">
        <v>381</v>
      </c>
      <c r="B332" t="s">
        <v>18</v>
      </c>
      <c r="C332" t="s">
        <v>69</v>
      </c>
      <c r="D332" t="s">
        <v>20</v>
      </c>
      <c r="E332" t="s">
        <v>36</v>
      </c>
      <c r="F332">
        <v>18</v>
      </c>
      <c r="G332" s="2">
        <v>239</v>
      </c>
      <c r="H332" s="2">
        <v>4302</v>
      </c>
      <c r="I332" t="s">
        <v>15</v>
      </c>
      <c r="J332" t="s">
        <v>23</v>
      </c>
      <c r="K332" t="str">
        <f>TEXT(Sales_Data[[#This Row],[Order Date]],"yyyy")</f>
        <v>2026</v>
      </c>
      <c r="L332" t="str">
        <f>TEXT(Sales_Data[[#This Row],[Order Date]],"mmmm")</f>
        <v>October</v>
      </c>
      <c r="M332" s="1">
        <v>46307</v>
      </c>
      <c r="N332" s="1">
        <v>31394</v>
      </c>
      <c r="O332">
        <f>DATEDIF(Sales_Data[[#This Row],[Date of Birth]],Sales_Data[[#This Row],[Order Date]],"y")</f>
        <v>40</v>
      </c>
      <c r="P332" t="str" cm="1">
        <f t="array" ref="P332">_xlfn.IFS(Sales_Data[[#This Row],[Age ]]&lt;=30,"Young Adult",Sales_Data[[#This Row],[Age ]]&lt;=45,"Senior",Sales_Data[[#This Row],[Age ]]&lt;=60,"Adult",Sales_Data[[#This Row],[Age ]]&gt;=61,"Elderly")</f>
        <v>Senior</v>
      </c>
    </row>
    <row r="333" spans="1:16" x14ac:dyDescent="0.3">
      <c r="A333" t="s">
        <v>382</v>
      </c>
      <c r="B333" t="s">
        <v>29</v>
      </c>
      <c r="C333" t="s">
        <v>26</v>
      </c>
      <c r="D333" t="s">
        <v>13</v>
      </c>
      <c r="E333" t="s">
        <v>63</v>
      </c>
      <c r="F333">
        <v>5</v>
      </c>
      <c r="G333" s="2">
        <v>1052</v>
      </c>
      <c r="H333" s="2">
        <v>5260</v>
      </c>
      <c r="I333" t="s">
        <v>15</v>
      </c>
      <c r="J333" t="s">
        <v>16</v>
      </c>
      <c r="K333" t="str">
        <f>TEXT(Sales_Data[[#This Row],[Order Date]],"yyyy")</f>
        <v>2026</v>
      </c>
      <c r="L333" t="str">
        <f>TEXT(Sales_Data[[#This Row],[Order Date]],"mmmm")</f>
        <v>May</v>
      </c>
      <c r="M333" s="1">
        <v>46167</v>
      </c>
      <c r="N333" s="1">
        <v>37896</v>
      </c>
      <c r="O333">
        <f>DATEDIF(Sales_Data[[#This Row],[Date of Birth]],Sales_Data[[#This Row],[Order Date]],"y")</f>
        <v>22</v>
      </c>
      <c r="P333" t="str" cm="1">
        <f t="array" ref="P333">_xlfn.IFS(Sales_Data[[#This Row],[Age ]]&lt;=30,"Young Adult",Sales_Data[[#This Row],[Age ]]&lt;=45,"Senior",Sales_Data[[#This Row],[Age ]]&lt;=60,"Adult",Sales_Data[[#This Row],[Age ]]&gt;=61,"Elderly")</f>
        <v>Young Adult</v>
      </c>
    </row>
    <row r="334" spans="1:16" x14ac:dyDescent="0.3">
      <c r="A334" t="s">
        <v>383</v>
      </c>
      <c r="B334" t="s">
        <v>29</v>
      </c>
      <c r="C334" t="s">
        <v>19</v>
      </c>
      <c r="D334" t="s">
        <v>20</v>
      </c>
      <c r="E334" t="s">
        <v>21</v>
      </c>
      <c r="F334">
        <v>24</v>
      </c>
      <c r="G334" s="2">
        <v>490</v>
      </c>
      <c r="H334" s="2">
        <v>11760</v>
      </c>
      <c r="I334" t="s">
        <v>22</v>
      </c>
      <c r="J334" t="s">
        <v>34</v>
      </c>
      <c r="K334" t="str">
        <f>TEXT(Sales_Data[[#This Row],[Order Date]],"yyyy")</f>
        <v>2026</v>
      </c>
      <c r="L334" t="str">
        <f>TEXT(Sales_Data[[#This Row],[Order Date]],"mmmm")</f>
        <v>May</v>
      </c>
      <c r="M334" s="1">
        <v>46161</v>
      </c>
      <c r="N334" s="1">
        <v>35688</v>
      </c>
      <c r="O334">
        <f>DATEDIF(Sales_Data[[#This Row],[Date of Birth]],Sales_Data[[#This Row],[Order Date]],"y")</f>
        <v>28</v>
      </c>
      <c r="P334" t="str" cm="1">
        <f t="array" ref="P334">_xlfn.IFS(Sales_Data[[#This Row],[Age ]]&lt;=30,"Young Adult",Sales_Data[[#This Row],[Age ]]&lt;=45,"Senior",Sales_Data[[#This Row],[Age ]]&lt;=60,"Adult",Sales_Data[[#This Row],[Age ]]&gt;=61,"Elderly")</f>
        <v>Young Adult</v>
      </c>
    </row>
    <row r="335" spans="1:16" x14ac:dyDescent="0.3">
      <c r="A335" t="s">
        <v>384</v>
      </c>
      <c r="B335" t="s">
        <v>18</v>
      </c>
      <c r="C335" t="s">
        <v>42</v>
      </c>
      <c r="D335" t="s">
        <v>20</v>
      </c>
      <c r="E335" t="s">
        <v>43</v>
      </c>
      <c r="F335">
        <v>47</v>
      </c>
      <c r="G335" s="2">
        <v>1199</v>
      </c>
      <c r="H335" s="2">
        <v>56353</v>
      </c>
      <c r="I335" t="s">
        <v>15</v>
      </c>
      <c r="J335" t="s">
        <v>23</v>
      </c>
      <c r="K335" t="str">
        <f>TEXT(Sales_Data[[#This Row],[Order Date]],"yyyy")</f>
        <v>2026</v>
      </c>
      <c r="L335" t="str">
        <f>TEXT(Sales_Data[[#This Row],[Order Date]],"mmmm")</f>
        <v>April</v>
      </c>
      <c r="M335" s="1">
        <v>46117</v>
      </c>
      <c r="N335" s="1">
        <v>24630</v>
      </c>
      <c r="O335">
        <f>DATEDIF(Sales_Data[[#This Row],[Date of Birth]],Sales_Data[[#This Row],[Order Date]],"y")</f>
        <v>58</v>
      </c>
      <c r="P335" t="str" cm="1">
        <f t="array" ref="P335">_xlfn.IFS(Sales_Data[[#This Row],[Age ]]&lt;=30,"Young Adult",Sales_Data[[#This Row],[Age ]]&lt;=45,"Senior",Sales_Data[[#This Row],[Age ]]&lt;=60,"Adult",Sales_Data[[#This Row],[Age ]]&gt;=61,"Elderly")</f>
        <v>Adult</v>
      </c>
    </row>
    <row r="336" spans="1:16" x14ac:dyDescent="0.3">
      <c r="A336" t="s">
        <v>385</v>
      </c>
      <c r="B336" t="s">
        <v>29</v>
      </c>
      <c r="C336" t="s">
        <v>12</v>
      </c>
      <c r="D336" t="s">
        <v>66</v>
      </c>
      <c r="E336" t="s">
        <v>67</v>
      </c>
      <c r="F336">
        <v>22</v>
      </c>
      <c r="G336" s="2">
        <v>2</v>
      </c>
      <c r="H336" s="2">
        <v>44</v>
      </c>
      <c r="I336" t="s">
        <v>15</v>
      </c>
      <c r="J336" t="s">
        <v>16</v>
      </c>
      <c r="K336" t="str">
        <f>TEXT(Sales_Data[[#This Row],[Order Date]],"yyyy")</f>
        <v>2026</v>
      </c>
      <c r="L336" t="str">
        <f>TEXT(Sales_Data[[#This Row],[Order Date]],"mmmm")</f>
        <v>November</v>
      </c>
      <c r="M336" s="1">
        <v>46339</v>
      </c>
      <c r="N336" s="1">
        <v>34775</v>
      </c>
      <c r="O336">
        <f>DATEDIF(Sales_Data[[#This Row],[Date of Birth]],Sales_Data[[#This Row],[Order Date]],"y")</f>
        <v>31</v>
      </c>
      <c r="P336" t="str" cm="1">
        <f t="array" ref="P336">_xlfn.IFS(Sales_Data[[#This Row],[Age ]]&lt;=30,"Young Adult",Sales_Data[[#This Row],[Age ]]&lt;=45,"Senior",Sales_Data[[#This Row],[Age ]]&lt;=60,"Adult",Sales_Data[[#This Row],[Age ]]&gt;=61,"Elderly")</f>
        <v>Senior</v>
      </c>
    </row>
    <row r="337" spans="1:16" x14ac:dyDescent="0.3">
      <c r="A337" t="s">
        <v>386</v>
      </c>
      <c r="B337" t="s">
        <v>29</v>
      </c>
      <c r="C337" t="s">
        <v>12</v>
      </c>
      <c r="D337" t="s">
        <v>30</v>
      </c>
      <c r="E337" t="s">
        <v>47</v>
      </c>
      <c r="F337">
        <v>32</v>
      </c>
      <c r="G337" s="2">
        <v>111</v>
      </c>
      <c r="H337" s="2">
        <v>3552</v>
      </c>
      <c r="I337" t="s">
        <v>15</v>
      </c>
      <c r="J337" t="s">
        <v>23</v>
      </c>
      <c r="K337" t="str">
        <f>TEXT(Sales_Data[[#This Row],[Order Date]],"yyyy")</f>
        <v>2026</v>
      </c>
      <c r="L337" t="str">
        <f>TEXT(Sales_Data[[#This Row],[Order Date]],"mmmm")</f>
        <v>March</v>
      </c>
      <c r="M337" s="1">
        <v>46104</v>
      </c>
      <c r="N337" s="1">
        <v>34449</v>
      </c>
      <c r="O337">
        <f>DATEDIF(Sales_Data[[#This Row],[Date of Birth]],Sales_Data[[#This Row],[Order Date]],"y")</f>
        <v>31</v>
      </c>
      <c r="P337" t="str" cm="1">
        <f t="array" ref="P337">_xlfn.IFS(Sales_Data[[#This Row],[Age ]]&lt;=30,"Young Adult",Sales_Data[[#This Row],[Age ]]&lt;=45,"Senior",Sales_Data[[#This Row],[Age ]]&lt;=60,"Adult",Sales_Data[[#This Row],[Age ]]&gt;=61,"Elderly")</f>
        <v>Senior</v>
      </c>
    </row>
    <row r="338" spans="1:16" x14ac:dyDescent="0.3">
      <c r="A338" t="s">
        <v>387</v>
      </c>
      <c r="B338" t="s">
        <v>11</v>
      </c>
      <c r="C338" t="s">
        <v>42</v>
      </c>
      <c r="D338" t="s">
        <v>20</v>
      </c>
      <c r="E338" t="s">
        <v>36</v>
      </c>
      <c r="F338">
        <v>30</v>
      </c>
      <c r="G338" s="2">
        <v>253</v>
      </c>
      <c r="H338" s="2">
        <v>7590</v>
      </c>
      <c r="I338" t="s">
        <v>15</v>
      </c>
      <c r="J338" t="s">
        <v>16</v>
      </c>
      <c r="K338" t="str">
        <f>TEXT(Sales_Data[[#This Row],[Order Date]],"yyyy")</f>
        <v>2026</v>
      </c>
      <c r="L338" t="str">
        <f>TEXT(Sales_Data[[#This Row],[Order Date]],"mmmm")</f>
        <v>October</v>
      </c>
      <c r="M338" s="1">
        <v>46299</v>
      </c>
      <c r="N338" s="1">
        <v>34330</v>
      </c>
      <c r="O338">
        <f>DATEDIF(Sales_Data[[#This Row],[Date of Birth]],Sales_Data[[#This Row],[Order Date]],"y")</f>
        <v>32</v>
      </c>
      <c r="P338" t="str" cm="1">
        <f t="array" ref="P338">_xlfn.IFS(Sales_Data[[#This Row],[Age ]]&lt;=30,"Young Adult",Sales_Data[[#This Row],[Age ]]&lt;=45,"Senior",Sales_Data[[#This Row],[Age ]]&lt;=60,"Adult",Sales_Data[[#This Row],[Age ]]&gt;=61,"Elderly")</f>
        <v>Senior</v>
      </c>
    </row>
    <row r="339" spans="1:16" x14ac:dyDescent="0.3">
      <c r="A339" t="s">
        <v>388</v>
      </c>
      <c r="B339" t="s">
        <v>29</v>
      </c>
      <c r="C339" t="s">
        <v>26</v>
      </c>
      <c r="D339" t="s">
        <v>13</v>
      </c>
      <c r="E339" t="s">
        <v>63</v>
      </c>
      <c r="F339">
        <v>43</v>
      </c>
      <c r="G339" s="2">
        <v>367</v>
      </c>
      <c r="H339" s="2">
        <v>15781</v>
      </c>
      <c r="I339" t="s">
        <v>22</v>
      </c>
      <c r="J339" t="s">
        <v>16</v>
      </c>
      <c r="K339" t="str">
        <f>TEXT(Sales_Data[[#This Row],[Order Date]],"yyyy")</f>
        <v>2026</v>
      </c>
      <c r="L339" t="str">
        <f>TEXT(Sales_Data[[#This Row],[Order Date]],"mmmm")</f>
        <v>April</v>
      </c>
      <c r="M339" s="1">
        <v>46122</v>
      </c>
      <c r="N339" s="1">
        <v>25355</v>
      </c>
      <c r="O339">
        <f>DATEDIF(Sales_Data[[#This Row],[Date of Birth]],Sales_Data[[#This Row],[Order Date]],"y")</f>
        <v>56</v>
      </c>
      <c r="P339" t="str" cm="1">
        <f t="array" ref="P339">_xlfn.IFS(Sales_Data[[#This Row],[Age ]]&lt;=30,"Young Adult",Sales_Data[[#This Row],[Age ]]&lt;=45,"Senior",Sales_Data[[#This Row],[Age ]]&lt;=60,"Adult",Sales_Data[[#This Row],[Age ]]&gt;=61,"Elderly")</f>
        <v>Adult</v>
      </c>
    </row>
    <row r="340" spans="1:16" x14ac:dyDescent="0.3">
      <c r="A340" t="s">
        <v>389</v>
      </c>
      <c r="B340" t="s">
        <v>11</v>
      </c>
      <c r="C340" t="s">
        <v>65</v>
      </c>
      <c r="D340" t="s">
        <v>66</v>
      </c>
      <c r="E340" t="s">
        <v>77</v>
      </c>
      <c r="F340">
        <v>29</v>
      </c>
      <c r="G340" s="2">
        <v>19</v>
      </c>
      <c r="H340" s="2">
        <v>551</v>
      </c>
      <c r="I340" t="s">
        <v>15</v>
      </c>
      <c r="J340" t="s">
        <v>23</v>
      </c>
      <c r="K340" t="str">
        <f>TEXT(Sales_Data[[#This Row],[Order Date]],"yyyy")</f>
        <v>2026</v>
      </c>
      <c r="L340" t="str">
        <f>TEXT(Sales_Data[[#This Row],[Order Date]],"mmmm")</f>
        <v>April</v>
      </c>
      <c r="M340" s="1">
        <v>46115</v>
      </c>
      <c r="N340" s="1">
        <v>24736</v>
      </c>
      <c r="O340">
        <f>DATEDIF(Sales_Data[[#This Row],[Date of Birth]],Sales_Data[[#This Row],[Order Date]],"y")</f>
        <v>58</v>
      </c>
      <c r="P340" t="str" cm="1">
        <f t="array" ref="P340">_xlfn.IFS(Sales_Data[[#This Row],[Age ]]&lt;=30,"Young Adult",Sales_Data[[#This Row],[Age ]]&lt;=45,"Senior",Sales_Data[[#This Row],[Age ]]&lt;=60,"Adult",Sales_Data[[#This Row],[Age ]]&gt;=61,"Elderly")</f>
        <v>Adult</v>
      </c>
    </row>
    <row r="341" spans="1:16" x14ac:dyDescent="0.3">
      <c r="A341" t="s">
        <v>390</v>
      </c>
      <c r="B341" t="s">
        <v>18</v>
      </c>
      <c r="C341" t="s">
        <v>26</v>
      </c>
      <c r="D341" t="s">
        <v>13</v>
      </c>
      <c r="E341" t="s">
        <v>59</v>
      </c>
      <c r="F341">
        <v>29</v>
      </c>
      <c r="G341" s="2">
        <v>1054</v>
      </c>
      <c r="H341" s="2">
        <v>30566</v>
      </c>
      <c r="I341" t="s">
        <v>15</v>
      </c>
      <c r="J341" t="s">
        <v>34</v>
      </c>
      <c r="K341" t="str">
        <f>TEXT(Sales_Data[[#This Row],[Order Date]],"yyyy")</f>
        <v>2026</v>
      </c>
      <c r="L341" t="str">
        <f>TEXT(Sales_Data[[#This Row],[Order Date]],"mmmm")</f>
        <v>June</v>
      </c>
      <c r="M341" s="1">
        <v>46187</v>
      </c>
      <c r="N341" s="1">
        <v>30339</v>
      </c>
      <c r="O341">
        <f>DATEDIF(Sales_Data[[#This Row],[Date of Birth]],Sales_Data[[#This Row],[Order Date]],"y")</f>
        <v>43</v>
      </c>
      <c r="P341" t="str" cm="1">
        <f t="array" ref="P341">_xlfn.IFS(Sales_Data[[#This Row],[Age ]]&lt;=30,"Young Adult",Sales_Data[[#This Row],[Age ]]&lt;=45,"Senior",Sales_Data[[#This Row],[Age ]]&lt;=60,"Adult",Sales_Data[[#This Row],[Age ]]&gt;=61,"Elderly")</f>
        <v>Senior</v>
      </c>
    </row>
    <row r="342" spans="1:16" x14ac:dyDescent="0.3">
      <c r="A342" t="s">
        <v>391</v>
      </c>
      <c r="B342" t="s">
        <v>29</v>
      </c>
      <c r="C342" t="s">
        <v>69</v>
      </c>
      <c r="D342" t="s">
        <v>66</v>
      </c>
      <c r="E342" t="s">
        <v>70</v>
      </c>
      <c r="F342">
        <v>17</v>
      </c>
      <c r="G342" s="2">
        <v>9</v>
      </c>
      <c r="H342" s="2">
        <v>153</v>
      </c>
      <c r="I342" t="s">
        <v>15</v>
      </c>
      <c r="J342" t="s">
        <v>34</v>
      </c>
      <c r="K342" t="str">
        <f>TEXT(Sales_Data[[#This Row],[Order Date]],"yyyy")</f>
        <v>2026</v>
      </c>
      <c r="L342" t="str">
        <f>TEXT(Sales_Data[[#This Row],[Order Date]],"mmmm")</f>
        <v>February</v>
      </c>
      <c r="M342" s="1">
        <v>46059</v>
      </c>
      <c r="N342" s="1">
        <v>35674</v>
      </c>
      <c r="O342">
        <f>DATEDIF(Sales_Data[[#This Row],[Date of Birth]],Sales_Data[[#This Row],[Order Date]],"y")</f>
        <v>28</v>
      </c>
      <c r="P342" t="str" cm="1">
        <f t="array" ref="P342">_xlfn.IFS(Sales_Data[[#This Row],[Age ]]&lt;=30,"Young Adult",Sales_Data[[#This Row],[Age ]]&lt;=45,"Senior",Sales_Data[[#This Row],[Age ]]&lt;=60,"Adult",Sales_Data[[#This Row],[Age ]]&gt;=61,"Elderly")</f>
        <v>Young Adult</v>
      </c>
    </row>
    <row r="343" spans="1:16" x14ac:dyDescent="0.3">
      <c r="A343" t="s">
        <v>392</v>
      </c>
      <c r="B343" t="s">
        <v>18</v>
      </c>
      <c r="C343" t="s">
        <v>46</v>
      </c>
      <c r="D343" t="s">
        <v>30</v>
      </c>
      <c r="E343" t="s">
        <v>57</v>
      </c>
      <c r="F343">
        <v>46</v>
      </c>
      <c r="G343" s="2">
        <v>304</v>
      </c>
      <c r="H343" s="2">
        <v>13984</v>
      </c>
      <c r="I343" t="s">
        <v>22</v>
      </c>
      <c r="J343" t="s">
        <v>23</v>
      </c>
      <c r="K343" t="str">
        <f>TEXT(Sales_Data[[#This Row],[Order Date]],"yyyy")</f>
        <v>2026</v>
      </c>
      <c r="L343" t="str">
        <f>TEXT(Sales_Data[[#This Row],[Order Date]],"mmmm")</f>
        <v>June</v>
      </c>
      <c r="M343" s="1">
        <v>46186</v>
      </c>
      <c r="N343" s="1">
        <v>29302</v>
      </c>
      <c r="O343">
        <f>DATEDIF(Sales_Data[[#This Row],[Date of Birth]],Sales_Data[[#This Row],[Order Date]],"y")</f>
        <v>46</v>
      </c>
      <c r="P343" t="str" cm="1">
        <f t="array" ref="P343">_xlfn.IFS(Sales_Data[[#This Row],[Age ]]&lt;=30,"Young Adult",Sales_Data[[#This Row],[Age ]]&lt;=45,"Senior",Sales_Data[[#This Row],[Age ]]&lt;=60,"Adult",Sales_Data[[#This Row],[Age ]]&gt;=61,"Elderly")</f>
        <v>Adult</v>
      </c>
    </row>
    <row r="344" spans="1:16" x14ac:dyDescent="0.3">
      <c r="A344" t="s">
        <v>393</v>
      </c>
      <c r="B344" t="s">
        <v>18</v>
      </c>
      <c r="C344" t="s">
        <v>65</v>
      </c>
      <c r="D344" t="s">
        <v>13</v>
      </c>
      <c r="E344" t="s">
        <v>63</v>
      </c>
      <c r="F344">
        <v>29</v>
      </c>
      <c r="G344" s="2">
        <v>611</v>
      </c>
      <c r="H344" s="2">
        <v>17719</v>
      </c>
      <c r="I344" t="s">
        <v>15</v>
      </c>
      <c r="J344" t="s">
        <v>23</v>
      </c>
      <c r="K344" t="str">
        <f>TEXT(Sales_Data[[#This Row],[Order Date]],"yyyy")</f>
        <v>2026</v>
      </c>
      <c r="L344" t="str">
        <f>TEXT(Sales_Data[[#This Row],[Order Date]],"mmmm")</f>
        <v>February</v>
      </c>
      <c r="M344" s="1">
        <v>46068</v>
      </c>
      <c r="N344" s="1">
        <v>36859</v>
      </c>
      <c r="O344">
        <f>DATEDIF(Sales_Data[[#This Row],[Date of Birth]],Sales_Data[[#This Row],[Order Date]],"y")</f>
        <v>25</v>
      </c>
      <c r="P344" t="str" cm="1">
        <f t="array" ref="P344">_xlfn.IFS(Sales_Data[[#This Row],[Age ]]&lt;=30,"Young Adult",Sales_Data[[#This Row],[Age ]]&lt;=45,"Senior",Sales_Data[[#This Row],[Age ]]&lt;=60,"Adult",Sales_Data[[#This Row],[Age ]]&gt;=61,"Elderly")</f>
        <v>Young Adult</v>
      </c>
    </row>
    <row r="345" spans="1:16" x14ac:dyDescent="0.3">
      <c r="A345" t="s">
        <v>394</v>
      </c>
      <c r="B345" t="s">
        <v>18</v>
      </c>
      <c r="C345" t="s">
        <v>46</v>
      </c>
      <c r="D345" t="s">
        <v>13</v>
      </c>
      <c r="E345" t="s">
        <v>59</v>
      </c>
      <c r="F345">
        <v>9</v>
      </c>
      <c r="G345" s="2">
        <v>505</v>
      </c>
      <c r="H345" s="2">
        <v>4545</v>
      </c>
      <c r="I345" t="s">
        <v>15</v>
      </c>
      <c r="J345" t="s">
        <v>23</v>
      </c>
      <c r="K345" t="str">
        <f>TEXT(Sales_Data[[#This Row],[Order Date]],"yyyy")</f>
        <v>2026</v>
      </c>
      <c r="L345" t="str">
        <f>TEXT(Sales_Data[[#This Row],[Order Date]],"mmmm")</f>
        <v>July</v>
      </c>
      <c r="M345" s="1">
        <v>46215</v>
      </c>
      <c r="N345" s="1">
        <v>37860</v>
      </c>
      <c r="O345">
        <f>DATEDIF(Sales_Data[[#This Row],[Date of Birth]],Sales_Data[[#This Row],[Order Date]],"y")</f>
        <v>22</v>
      </c>
      <c r="P345" t="str" cm="1">
        <f t="array" ref="P345">_xlfn.IFS(Sales_Data[[#This Row],[Age ]]&lt;=30,"Young Adult",Sales_Data[[#This Row],[Age ]]&lt;=45,"Senior",Sales_Data[[#This Row],[Age ]]&lt;=60,"Adult",Sales_Data[[#This Row],[Age ]]&gt;=61,"Elderly")</f>
        <v>Young Adult</v>
      </c>
    </row>
    <row r="346" spans="1:16" x14ac:dyDescent="0.3">
      <c r="A346" t="s">
        <v>395</v>
      </c>
      <c r="B346" t="s">
        <v>29</v>
      </c>
      <c r="C346" t="s">
        <v>12</v>
      </c>
      <c r="D346" t="s">
        <v>13</v>
      </c>
      <c r="E346" t="s">
        <v>59</v>
      </c>
      <c r="F346">
        <v>42</v>
      </c>
      <c r="G346" s="2">
        <v>1008</v>
      </c>
      <c r="H346" s="2">
        <v>42336</v>
      </c>
      <c r="I346" t="s">
        <v>15</v>
      </c>
      <c r="J346" t="s">
        <v>34</v>
      </c>
      <c r="K346" t="str">
        <f>TEXT(Sales_Data[[#This Row],[Order Date]],"yyyy")</f>
        <v>2026</v>
      </c>
      <c r="L346" t="str">
        <f>TEXT(Sales_Data[[#This Row],[Order Date]],"mmmm")</f>
        <v>March</v>
      </c>
      <c r="M346" s="1">
        <v>46084</v>
      </c>
      <c r="N346" s="1">
        <v>25533</v>
      </c>
      <c r="O346">
        <f>DATEDIF(Sales_Data[[#This Row],[Date of Birth]],Sales_Data[[#This Row],[Order Date]],"y")</f>
        <v>56</v>
      </c>
      <c r="P346" t="str" cm="1">
        <f t="array" ref="P346">_xlfn.IFS(Sales_Data[[#This Row],[Age ]]&lt;=30,"Young Adult",Sales_Data[[#This Row],[Age ]]&lt;=45,"Senior",Sales_Data[[#This Row],[Age ]]&lt;=60,"Adult",Sales_Data[[#This Row],[Age ]]&gt;=61,"Elderly")</f>
        <v>Adult</v>
      </c>
    </row>
    <row r="347" spans="1:16" x14ac:dyDescent="0.3">
      <c r="A347" t="s">
        <v>396</v>
      </c>
      <c r="B347" t="s">
        <v>25</v>
      </c>
      <c r="C347" t="s">
        <v>69</v>
      </c>
      <c r="D347" t="s">
        <v>13</v>
      </c>
      <c r="E347" t="s">
        <v>59</v>
      </c>
      <c r="F347">
        <v>37</v>
      </c>
      <c r="G347" s="2">
        <v>987</v>
      </c>
      <c r="H347" s="2">
        <v>36519</v>
      </c>
      <c r="I347" t="s">
        <v>22</v>
      </c>
      <c r="J347" t="s">
        <v>16</v>
      </c>
      <c r="K347" t="str">
        <f>TEXT(Sales_Data[[#This Row],[Order Date]],"yyyy")</f>
        <v>2026</v>
      </c>
      <c r="L347" t="str">
        <f>TEXT(Sales_Data[[#This Row],[Order Date]],"mmmm")</f>
        <v>December</v>
      </c>
      <c r="M347" s="1">
        <v>46369</v>
      </c>
      <c r="N347" s="1">
        <v>27816</v>
      </c>
      <c r="O347">
        <f>DATEDIF(Sales_Data[[#This Row],[Date of Birth]],Sales_Data[[#This Row],[Order Date]],"y")</f>
        <v>50</v>
      </c>
      <c r="P347" t="str" cm="1">
        <f t="array" ref="P347">_xlfn.IFS(Sales_Data[[#This Row],[Age ]]&lt;=30,"Young Adult",Sales_Data[[#This Row],[Age ]]&lt;=45,"Senior",Sales_Data[[#This Row],[Age ]]&lt;=60,"Adult",Sales_Data[[#This Row],[Age ]]&gt;=61,"Elderly")</f>
        <v>Adult</v>
      </c>
    </row>
    <row r="348" spans="1:16" x14ac:dyDescent="0.3">
      <c r="A348" t="s">
        <v>397</v>
      </c>
      <c r="B348" t="s">
        <v>29</v>
      </c>
      <c r="C348" t="s">
        <v>55</v>
      </c>
      <c r="D348" t="s">
        <v>20</v>
      </c>
      <c r="E348" t="s">
        <v>43</v>
      </c>
      <c r="F348">
        <v>23</v>
      </c>
      <c r="G348" s="2">
        <v>519</v>
      </c>
      <c r="H348" s="2">
        <v>11937</v>
      </c>
      <c r="I348" t="s">
        <v>15</v>
      </c>
      <c r="J348" t="s">
        <v>23</v>
      </c>
      <c r="K348" t="str">
        <f>TEXT(Sales_Data[[#This Row],[Order Date]],"yyyy")</f>
        <v>2026</v>
      </c>
      <c r="L348" t="str">
        <f>TEXT(Sales_Data[[#This Row],[Order Date]],"mmmm")</f>
        <v>March</v>
      </c>
      <c r="M348" s="1">
        <v>46090</v>
      </c>
      <c r="N348" s="1">
        <v>26882</v>
      </c>
      <c r="O348">
        <f>DATEDIF(Sales_Data[[#This Row],[Date of Birth]],Sales_Data[[#This Row],[Order Date]],"y")</f>
        <v>52</v>
      </c>
      <c r="P348" t="str" cm="1">
        <f t="array" ref="P348">_xlfn.IFS(Sales_Data[[#This Row],[Age ]]&lt;=30,"Young Adult",Sales_Data[[#This Row],[Age ]]&lt;=45,"Senior",Sales_Data[[#This Row],[Age ]]&lt;=60,"Adult",Sales_Data[[#This Row],[Age ]]&gt;=61,"Elderly")</f>
        <v>Adult</v>
      </c>
    </row>
    <row r="349" spans="1:16" x14ac:dyDescent="0.3">
      <c r="A349" t="s">
        <v>398</v>
      </c>
      <c r="B349" t="s">
        <v>18</v>
      </c>
      <c r="C349" t="s">
        <v>12</v>
      </c>
      <c r="D349" t="s">
        <v>30</v>
      </c>
      <c r="E349" t="s">
        <v>31</v>
      </c>
      <c r="F349">
        <v>32</v>
      </c>
      <c r="G349" s="2">
        <v>471</v>
      </c>
      <c r="H349" s="2">
        <v>15072</v>
      </c>
      <c r="I349" t="s">
        <v>22</v>
      </c>
      <c r="J349" t="s">
        <v>34</v>
      </c>
      <c r="K349" t="str">
        <f>TEXT(Sales_Data[[#This Row],[Order Date]],"yyyy")</f>
        <v>2026</v>
      </c>
      <c r="L349" t="str">
        <f>TEXT(Sales_Data[[#This Row],[Order Date]],"mmmm")</f>
        <v>September</v>
      </c>
      <c r="M349" s="1">
        <v>46281</v>
      </c>
      <c r="N349" s="1">
        <v>26859</v>
      </c>
      <c r="O349">
        <f>DATEDIF(Sales_Data[[#This Row],[Date of Birth]],Sales_Data[[#This Row],[Order Date]],"y")</f>
        <v>53</v>
      </c>
      <c r="P349" t="str" cm="1">
        <f t="array" ref="P349">_xlfn.IFS(Sales_Data[[#This Row],[Age ]]&lt;=30,"Young Adult",Sales_Data[[#This Row],[Age ]]&lt;=45,"Senior",Sales_Data[[#This Row],[Age ]]&lt;=60,"Adult",Sales_Data[[#This Row],[Age ]]&gt;=61,"Elderly")</f>
        <v>Adult</v>
      </c>
    </row>
    <row r="350" spans="1:16" x14ac:dyDescent="0.3">
      <c r="A350" t="s">
        <v>399</v>
      </c>
      <c r="B350" t="s">
        <v>18</v>
      </c>
      <c r="C350" t="s">
        <v>42</v>
      </c>
      <c r="D350" t="s">
        <v>30</v>
      </c>
      <c r="E350" t="s">
        <v>47</v>
      </c>
      <c r="F350">
        <v>13</v>
      </c>
      <c r="G350" s="2">
        <v>708</v>
      </c>
      <c r="H350" s="2">
        <v>9204</v>
      </c>
      <c r="I350" t="s">
        <v>22</v>
      </c>
      <c r="J350" t="s">
        <v>34</v>
      </c>
      <c r="K350" t="str">
        <f>TEXT(Sales_Data[[#This Row],[Order Date]],"yyyy")</f>
        <v>2026</v>
      </c>
      <c r="L350" t="str">
        <f>TEXT(Sales_Data[[#This Row],[Order Date]],"mmmm")</f>
        <v>September</v>
      </c>
      <c r="M350" s="1">
        <v>46273</v>
      </c>
      <c r="N350" s="1">
        <v>32529</v>
      </c>
      <c r="O350">
        <f>DATEDIF(Sales_Data[[#This Row],[Date of Birth]],Sales_Data[[#This Row],[Order Date]],"y")</f>
        <v>37</v>
      </c>
      <c r="P350" t="str" cm="1">
        <f t="array" ref="P350">_xlfn.IFS(Sales_Data[[#This Row],[Age ]]&lt;=30,"Young Adult",Sales_Data[[#This Row],[Age ]]&lt;=45,"Senior",Sales_Data[[#This Row],[Age ]]&lt;=60,"Adult",Sales_Data[[#This Row],[Age ]]&gt;=61,"Elderly")</f>
        <v>Senior</v>
      </c>
    </row>
    <row r="351" spans="1:16" x14ac:dyDescent="0.3">
      <c r="A351" t="s">
        <v>400</v>
      </c>
      <c r="B351" t="s">
        <v>29</v>
      </c>
      <c r="C351" t="s">
        <v>65</v>
      </c>
      <c r="D351" t="s">
        <v>20</v>
      </c>
      <c r="E351" t="s">
        <v>36</v>
      </c>
      <c r="F351">
        <v>37</v>
      </c>
      <c r="G351" s="2">
        <v>1108</v>
      </c>
      <c r="H351" s="2">
        <v>40996</v>
      </c>
      <c r="I351" t="s">
        <v>15</v>
      </c>
      <c r="J351" t="s">
        <v>34</v>
      </c>
      <c r="K351" t="str">
        <f>TEXT(Sales_Data[[#This Row],[Order Date]],"yyyy")</f>
        <v>2026</v>
      </c>
      <c r="L351" t="str">
        <f>TEXT(Sales_Data[[#This Row],[Order Date]],"mmmm")</f>
        <v>June</v>
      </c>
      <c r="M351" s="1">
        <v>46186</v>
      </c>
      <c r="N351" s="1">
        <v>31093</v>
      </c>
      <c r="O351">
        <f>DATEDIF(Sales_Data[[#This Row],[Date of Birth]],Sales_Data[[#This Row],[Order Date]],"y")</f>
        <v>41</v>
      </c>
      <c r="P351" t="str" cm="1">
        <f t="array" ref="P351">_xlfn.IFS(Sales_Data[[#This Row],[Age ]]&lt;=30,"Young Adult",Sales_Data[[#This Row],[Age ]]&lt;=45,"Senior",Sales_Data[[#This Row],[Age ]]&lt;=60,"Adult",Sales_Data[[#This Row],[Age ]]&gt;=61,"Elderly")</f>
        <v>Senior</v>
      </c>
    </row>
    <row r="352" spans="1:16" x14ac:dyDescent="0.3">
      <c r="A352" t="s">
        <v>401</v>
      </c>
      <c r="B352" t="s">
        <v>25</v>
      </c>
      <c r="C352" t="s">
        <v>26</v>
      </c>
      <c r="D352" t="s">
        <v>30</v>
      </c>
      <c r="E352" t="s">
        <v>57</v>
      </c>
      <c r="F352">
        <v>50</v>
      </c>
      <c r="G352" s="2">
        <v>337</v>
      </c>
      <c r="H352" s="2">
        <v>16850</v>
      </c>
      <c r="I352" t="s">
        <v>15</v>
      </c>
      <c r="J352" t="s">
        <v>23</v>
      </c>
      <c r="K352" t="str">
        <f>TEXT(Sales_Data[[#This Row],[Order Date]],"yyyy")</f>
        <v>2026</v>
      </c>
      <c r="L352" t="str">
        <f>TEXT(Sales_Data[[#This Row],[Order Date]],"mmmm")</f>
        <v>January</v>
      </c>
      <c r="M352" s="1">
        <v>46048</v>
      </c>
      <c r="N352" s="1">
        <v>26039</v>
      </c>
      <c r="O352">
        <f>DATEDIF(Sales_Data[[#This Row],[Date of Birth]],Sales_Data[[#This Row],[Order Date]],"y")</f>
        <v>54</v>
      </c>
      <c r="P352" t="str" cm="1">
        <f t="array" ref="P352">_xlfn.IFS(Sales_Data[[#This Row],[Age ]]&lt;=30,"Young Adult",Sales_Data[[#This Row],[Age ]]&lt;=45,"Senior",Sales_Data[[#This Row],[Age ]]&lt;=60,"Adult",Sales_Data[[#This Row],[Age ]]&gt;=61,"Elderly")</f>
        <v>Adult</v>
      </c>
    </row>
    <row r="353" spans="1:16" x14ac:dyDescent="0.3">
      <c r="A353" t="s">
        <v>402</v>
      </c>
      <c r="B353" t="s">
        <v>18</v>
      </c>
      <c r="C353" t="s">
        <v>19</v>
      </c>
      <c r="D353" t="s">
        <v>13</v>
      </c>
      <c r="E353" t="s">
        <v>59</v>
      </c>
      <c r="F353">
        <v>43</v>
      </c>
      <c r="G353" s="2">
        <v>593</v>
      </c>
      <c r="H353" s="2">
        <v>25499</v>
      </c>
      <c r="I353" t="s">
        <v>22</v>
      </c>
      <c r="J353" t="s">
        <v>34</v>
      </c>
      <c r="K353" t="str">
        <f>TEXT(Sales_Data[[#This Row],[Order Date]],"yyyy")</f>
        <v>2026</v>
      </c>
      <c r="L353" t="str">
        <f>TEXT(Sales_Data[[#This Row],[Order Date]],"mmmm")</f>
        <v>May</v>
      </c>
      <c r="M353" s="1">
        <v>46160</v>
      </c>
      <c r="N353" s="1">
        <v>30655</v>
      </c>
      <c r="O353">
        <f>DATEDIF(Sales_Data[[#This Row],[Date of Birth]],Sales_Data[[#This Row],[Order Date]],"y")</f>
        <v>42</v>
      </c>
      <c r="P353" t="str" cm="1">
        <f t="array" ref="P353">_xlfn.IFS(Sales_Data[[#This Row],[Age ]]&lt;=30,"Young Adult",Sales_Data[[#This Row],[Age ]]&lt;=45,"Senior",Sales_Data[[#This Row],[Age ]]&lt;=60,"Adult",Sales_Data[[#This Row],[Age ]]&gt;=61,"Elderly")</f>
        <v>Senior</v>
      </c>
    </row>
    <row r="354" spans="1:16" x14ac:dyDescent="0.3">
      <c r="A354" t="s">
        <v>403</v>
      </c>
      <c r="B354" t="s">
        <v>29</v>
      </c>
      <c r="C354" t="s">
        <v>69</v>
      </c>
      <c r="D354" t="s">
        <v>30</v>
      </c>
      <c r="E354" t="s">
        <v>38</v>
      </c>
      <c r="F354">
        <v>16</v>
      </c>
      <c r="G354" s="2">
        <v>656</v>
      </c>
      <c r="H354" s="2">
        <v>10496</v>
      </c>
      <c r="I354" t="s">
        <v>22</v>
      </c>
      <c r="J354" t="s">
        <v>16</v>
      </c>
      <c r="K354" t="str">
        <f>TEXT(Sales_Data[[#This Row],[Order Date]],"yyyy")</f>
        <v>2026</v>
      </c>
      <c r="L354" t="str">
        <f>TEXT(Sales_Data[[#This Row],[Order Date]],"mmmm")</f>
        <v>June</v>
      </c>
      <c r="M354" s="1">
        <v>46199</v>
      </c>
      <c r="N354" s="1">
        <v>26749</v>
      </c>
      <c r="O354">
        <f>DATEDIF(Sales_Data[[#This Row],[Date of Birth]],Sales_Data[[#This Row],[Order Date]],"y")</f>
        <v>53</v>
      </c>
      <c r="P354" t="str" cm="1">
        <f t="array" ref="P354">_xlfn.IFS(Sales_Data[[#This Row],[Age ]]&lt;=30,"Young Adult",Sales_Data[[#This Row],[Age ]]&lt;=45,"Senior",Sales_Data[[#This Row],[Age ]]&lt;=60,"Adult",Sales_Data[[#This Row],[Age ]]&gt;=61,"Elderly")</f>
        <v>Adult</v>
      </c>
    </row>
    <row r="355" spans="1:16" x14ac:dyDescent="0.3">
      <c r="A355" t="s">
        <v>404</v>
      </c>
      <c r="B355" t="s">
        <v>11</v>
      </c>
      <c r="C355" t="s">
        <v>55</v>
      </c>
      <c r="D355" t="s">
        <v>30</v>
      </c>
      <c r="E355" t="s">
        <v>61</v>
      </c>
      <c r="F355">
        <v>13</v>
      </c>
      <c r="G355" s="2">
        <v>554</v>
      </c>
      <c r="H355" s="2">
        <v>7202</v>
      </c>
      <c r="I355" t="s">
        <v>15</v>
      </c>
      <c r="J355" t="s">
        <v>23</v>
      </c>
      <c r="K355" t="str">
        <f>TEXT(Sales_Data[[#This Row],[Order Date]],"yyyy")</f>
        <v>2026</v>
      </c>
      <c r="L355" t="str">
        <f>TEXT(Sales_Data[[#This Row],[Order Date]],"mmmm")</f>
        <v>September</v>
      </c>
      <c r="M355" s="1">
        <v>46275</v>
      </c>
      <c r="N355" s="1">
        <v>28306</v>
      </c>
      <c r="O355">
        <f>DATEDIF(Sales_Data[[#This Row],[Date of Birth]],Sales_Data[[#This Row],[Order Date]],"y")</f>
        <v>49</v>
      </c>
      <c r="P355" t="str" cm="1">
        <f t="array" ref="P355">_xlfn.IFS(Sales_Data[[#This Row],[Age ]]&lt;=30,"Young Adult",Sales_Data[[#This Row],[Age ]]&lt;=45,"Senior",Sales_Data[[#This Row],[Age ]]&lt;=60,"Adult",Sales_Data[[#This Row],[Age ]]&gt;=61,"Elderly")</f>
        <v>Adult</v>
      </c>
    </row>
    <row r="356" spans="1:16" x14ac:dyDescent="0.3">
      <c r="A356" t="s">
        <v>405</v>
      </c>
      <c r="B356" t="s">
        <v>25</v>
      </c>
      <c r="C356" t="s">
        <v>69</v>
      </c>
      <c r="D356" t="s">
        <v>13</v>
      </c>
      <c r="E356" t="s">
        <v>59</v>
      </c>
      <c r="F356">
        <v>39</v>
      </c>
      <c r="G356" s="2">
        <v>548</v>
      </c>
      <c r="H356" s="2">
        <v>21372</v>
      </c>
      <c r="I356" t="s">
        <v>22</v>
      </c>
      <c r="J356" t="s">
        <v>16</v>
      </c>
      <c r="K356" t="str">
        <f>TEXT(Sales_Data[[#This Row],[Order Date]],"yyyy")</f>
        <v>2026</v>
      </c>
      <c r="L356" t="str">
        <f>TEXT(Sales_Data[[#This Row],[Order Date]],"mmmm")</f>
        <v>January</v>
      </c>
      <c r="M356" s="1">
        <v>46039</v>
      </c>
      <c r="N356" s="1">
        <v>31322</v>
      </c>
      <c r="O356">
        <f>DATEDIF(Sales_Data[[#This Row],[Date of Birth]],Sales_Data[[#This Row],[Order Date]],"y")</f>
        <v>40</v>
      </c>
      <c r="P356" t="str" cm="1">
        <f t="array" ref="P356">_xlfn.IFS(Sales_Data[[#This Row],[Age ]]&lt;=30,"Young Adult",Sales_Data[[#This Row],[Age ]]&lt;=45,"Senior",Sales_Data[[#This Row],[Age ]]&lt;=60,"Adult",Sales_Data[[#This Row],[Age ]]&gt;=61,"Elderly")</f>
        <v>Senior</v>
      </c>
    </row>
    <row r="357" spans="1:16" x14ac:dyDescent="0.3">
      <c r="A357" t="s">
        <v>406</v>
      </c>
      <c r="B357" t="s">
        <v>29</v>
      </c>
      <c r="C357" t="s">
        <v>69</v>
      </c>
      <c r="D357" t="s">
        <v>30</v>
      </c>
      <c r="E357" t="s">
        <v>38</v>
      </c>
      <c r="F357">
        <v>22</v>
      </c>
      <c r="G357" s="2">
        <v>784</v>
      </c>
      <c r="H357" s="2">
        <v>17248</v>
      </c>
      <c r="I357" t="s">
        <v>15</v>
      </c>
      <c r="J357" t="s">
        <v>23</v>
      </c>
      <c r="K357" t="str">
        <f>TEXT(Sales_Data[[#This Row],[Order Date]],"yyyy")</f>
        <v>2026</v>
      </c>
      <c r="L357" t="str">
        <f>TEXT(Sales_Data[[#This Row],[Order Date]],"mmmm")</f>
        <v>March</v>
      </c>
      <c r="M357" s="1">
        <v>46107</v>
      </c>
      <c r="N357" s="1">
        <v>27835</v>
      </c>
      <c r="O357">
        <f>DATEDIF(Sales_Data[[#This Row],[Date of Birth]],Sales_Data[[#This Row],[Order Date]],"y")</f>
        <v>50</v>
      </c>
      <c r="P357" t="str" cm="1">
        <f t="array" ref="P357">_xlfn.IFS(Sales_Data[[#This Row],[Age ]]&lt;=30,"Young Adult",Sales_Data[[#This Row],[Age ]]&lt;=45,"Senior",Sales_Data[[#This Row],[Age ]]&lt;=60,"Adult",Sales_Data[[#This Row],[Age ]]&gt;=61,"Elderly")</f>
        <v>Adult</v>
      </c>
    </row>
    <row r="358" spans="1:16" x14ac:dyDescent="0.3">
      <c r="A358" t="s">
        <v>407</v>
      </c>
      <c r="B358" t="s">
        <v>25</v>
      </c>
      <c r="C358" t="s">
        <v>12</v>
      </c>
      <c r="D358" t="s">
        <v>30</v>
      </c>
      <c r="E358" t="s">
        <v>57</v>
      </c>
      <c r="F358">
        <v>34</v>
      </c>
      <c r="G358" s="2">
        <v>423</v>
      </c>
      <c r="H358" s="2">
        <v>14382</v>
      </c>
      <c r="I358" t="s">
        <v>22</v>
      </c>
      <c r="J358" t="s">
        <v>34</v>
      </c>
      <c r="K358" t="str">
        <f>TEXT(Sales_Data[[#This Row],[Order Date]],"yyyy")</f>
        <v>2026</v>
      </c>
      <c r="L358" t="str">
        <f>TEXT(Sales_Data[[#This Row],[Order Date]],"mmmm")</f>
        <v>February</v>
      </c>
      <c r="M358" s="1">
        <v>46065</v>
      </c>
      <c r="N358" s="1">
        <v>38070</v>
      </c>
      <c r="O358">
        <f>DATEDIF(Sales_Data[[#This Row],[Date of Birth]],Sales_Data[[#This Row],[Order Date]],"y")</f>
        <v>21</v>
      </c>
      <c r="P358" t="str" cm="1">
        <f t="array" ref="P358">_xlfn.IFS(Sales_Data[[#This Row],[Age ]]&lt;=30,"Young Adult",Sales_Data[[#This Row],[Age ]]&lt;=45,"Senior",Sales_Data[[#This Row],[Age ]]&lt;=60,"Adult",Sales_Data[[#This Row],[Age ]]&gt;=61,"Elderly")</f>
        <v>Young Adult</v>
      </c>
    </row>
    <row r="359" spans="1:16" x14ac:dyDescent="0.3">
      <c r="A359" t="s">
        <v>408</v>
      </c>
      <c r="B359" t="s">
        <v>25</v>
      </c>
      <c r="C359" t="s">
        <v>26</v>
      </c>
      <c r="D359" t="s">
        <v>66</v>
      </c>
      <c r="E359" t="s">
        <v>83</v>
      </c>
      <c r="F359">
        <v>11</v>
      </c>
      <c r="G359" s="2">
        <v>48</v>
      </c>
      <c r="H359" s="2">
        <v>528</v>
      </c>
      <c r="I359" t="s">
        <v>15</v>
      </c>
      <c r="J359" t="s">
        <v>16</v>
      </c>
      <c r="K359" t="str">
        <f>TEXT(Sales_Data[[#This Row],[Order Date]],"yyyy")</f>
        <v>2026</v>
      </c>
      <c r="L359" t="str">
        <f>TEXT(Sales_Data[[#This Row],[Order Date]],"mmmm")</f>
        <v>July</v>
      </c>
      <c r="M359" s="1">
        <v>46229</v>
      </c>
      <c r="N359" s="1">
        <v>24978</v>
      </c>
      <c r="O359">
        <f>DATEDIF(Sales_Data[[#This Row],[Date of Birth]],Sales_Data[[#This Row],[Order Date]],"y")</f>
        <v>58</v>
      </c>
      <c r="P359" t="str" cm="1">
        <f t="array" ref="P359">_xlfn.IFS(Sales_Data[[#This Row],[Age ]]&lt;=30,"Young Adult",Sales_Data[[#This Row],[Age ]]&lt;=45,"Senior",Sales_Data[[#This Row],[Age ]]&lt;=60,"Adult",Sales_Data[[#This Row],[Age ]]&gt;=61,"Elderly")</f>
        <v>Adult</v>
      </c>
    </row>
    <row r="360" spans="1:16" x14ac:dyDescent="0.3">
      <c r="A360" t="s">
        <v>409</v>
      </c>
      <c r="B360" t="s">
        <v>29</v>
      </c>
      <c r="C360" t="s">
        <v>46</v>
      </c>
      <c r="D360" t="s">
        <v>66</v>
      </c>
      <c r="E360" t="s">
        <v>83</v>
      </c>
      <c r="F360">
        <v>43</v>
      </c>
      <c r="G360" s="2">
        <v>39</v>
      </c>
      <c r="H360" s="2">
        <v>1677</v>
      </c>
      <c r="I360" t="s">
        <v>15</v>
      </c>
      <c r="J360" t="s">
        <v>23</v>
      </c>
      <c r="K360" t="str">
        <f>TEXT(Sales_Data[[#This Row],[Order Date]],"yyyy")</f>
        <v>2026</v>
      </c>
      <c r="L360" t="str">
        <f>TEXT(Sales_Data[[#This Row],[Order Date]],"mmmm")</f>
        <v>March</v>
      </c>
      <c r="M360" s="1">
        <v>46094</v>
      </c>
      <c r="N360" s="1">
        <v>31003</v>
      </c>
      <c r="O360">
        <f>DATEDIF(Sales_Data[[#This Row],[Date of Birth]],Sales_Data[[#This Row],[Order Date]],"y")</f>
        <v>41</v>
      </c>
      <c r="P360" t="str" cm="1">
        <f t="array" ref="P360">_xlfn.IFS(Sales_Data[[#This Row],[Age ]]&lt;=30,"Young Adult",Sales_Data[[#This Row],[Age ]]&lt;=45,"Senior",Sales_Data[[#This Row],[Age ]]&lt;=60,"Adult",Sales_Data[[#This Row],[Age ]]&gt;=61,"Elderly")</f>
        <v>Senior</v>
      </c>
    </row>
    <row r="361" spans="1:16" x14ac:dyDescent="0.3">
      <c r="A361" t="s">
        <v>410</v>
      </c>
      <c r="B361" t="s">
        <v>29</v>
      </c>
      <c r="C361" t="s">
        <v>19</v>
      </c>
      <c r="D361" t="s">
        <v>13</v>
      </c>
      <c r="E361" t="s">
        <v>49</v>
      </c>
      <c r="F361">
        <v>26</v>
      </c>
      <c r="G361" s="2">
        <v>166</v>
      </c>
      <c r="H361" s="2">
        <v>4316</v>
      </c>
      <c r="I361" t="s">
        <v>15</v>
      </c>
      <c r="J361" t="s">
        <v>34</v>
      </c>
      <c r="K361" t="str">
        <f>TEXT(Sales_Data[[#This Row],[Order Date]],"yyyy")</f>
        <v>2026</v>
      </c>
      <c r="L361" t="str">
        <f>TEXT(Sales_Data[[#This Row],[Order Date]],"mmmm")</f>
        <v>March</v>
      </c>
      <c r="M361" s="1">
        <v>46101</v>
      </c>
      <c r="N361" s="1">
        <v>36981</v>
      </c>
      <c r="O361">
        <f>DATEDIF(Sales_Data[[#This Row],[Date of Birth]],Sales_Data[[#This Row],[Order Date]],"y")</f>
        <v>24</v>
      </c>
      <c r="P361" t="str" cm="1">
        <f t="array" ref="P361">_xlfn.IFS(Sales_Data[[#This Row],[Age ]]&lt;=30,"Young Adult",Sales_Data[[#This Row],[Age ]]&lt;=45,"Senior",Sales_Data[[#This Row],[Age ]]&lt;=60,"Adult",Sales_Data[[#This Row],[Age ]]&gt;=61,"Elderly")</f>
        <v>Young Adult</v>
      </c>
    </row>
    <row r="362" spans="1:16" x14ac:dyDescent="0.3">
      <c r="A362" t="s">
        <v>411</v>
      </c>
      <c r="B362" t="s">
        <v>29</v>
      </c>
      <c r="C362" t="s">
        <v>65</v>
      </c>
      <c r="D362" t="s">
        <v>30</v>
      </c>
      <c r="E362" t="s">
        <v>31</v>
      </c>
      <c r="F362">
        <v>48</v>
      </c>
      <c r="G362" s="2">
        <v>129</v>
      </c>
      <c r="H362" s="2">
        <v>6192</v>
      </c>
      <c r="I362" t="s">
        <v>15</v>
      </c>
      <c r="J362" t="s">
        <v>16</v>
      </c>
      <c r="K362" t="str">
        <f>TEXT(Sales_Data[[#This Row],[Order Date]],"yyyy")</f>
        <v>2026</v>
      </c>
      <c r="L362" t="str">
        <f>TEXT(Sales_Data[[#This Row],[Order Date]],"mmmm")</f>
        <v>April</v>
      </c>
      <c r="M362" s="1">
        <v>46124</v>
      </c>
      <c r="N362" s="1">
        <v>37855</v>
      </c>
      <c r="O362">
        <f>DATEDIF(Sales_Data[[#This Row],[Date of Birth]],Sales_Data[[#This Row],[Order Date]],"y")</f>
        <v>22</v>
      </c>
      <c r="P362" t="str" cm="1">
        <f t="array" ref="P362">_xlfn.IFS(Sales_Data[[#This Row],[Age ]]&lt;=30,"Young Adult",Sales_Data[[#This Row],[Age ]]&lt;=45,"Senior",Sales_Data[[#This Row],[Age ]]&lt;=60,"Adult",Sales_Data[[#This Row],[Age ]]&gt;=61,"Elderly")</f>
        <v>Young Adult</v>
      </c>
    </row>
    <row r="363" spans="1:16" x14ac:dyDescent="0.3">
      <c r="A363" t="s">
        <v>412</v>
      </c>
      <c r="B363" t="s">
        <v>18</v>
      </c>
      <c r="C363" t="s">
        <v>26</v>
      </c>
      <c r="D363" t="s">
        <v>66</v>
      </c>
      <c r="E363" t="s">
        <v>70</v>
      </c>
      <c r="F363">
        <v>1</v>
      </c>
      <c r="G363" s="2">
        <v>18</v>
      </c>
      <c r="H363" s="2">
        <v>18</v>
      </c>
      <c r="I363" t="s">
        <v>22</v>
      </c>
      <c r="J363" t="s">
        <v>23</v>
      </c>
      <c r="K363" t="str">
        <f>TEXT(Sales_Data[[#This Row],[Order Date]],"yyyy")</f>
        <v>2026</v>
      </c>
      <c r="L363" t="str">
        <f>TEXT(Sales_Data[[#This Row],[Order Date]],"mmmm")</f>
        <v>April</v>
      </c>
      <c r="M363" s="1">
        <v>46120</v>
      </c>
      <c r="N363" s="1">
        <v>37767</v>
      </c>
      <c r="O363">
        <f>DATEDIF(Sales_Data[[#This Row],[Date of Birth]],Sales_Data[[#This Row],[Order Date]],"y")</f>
        <v>22</v>
      </c>
      <c r="P363" t="str" cm="1">
        <f t="array" ref="P363">_xlfn.IFS(Sales_Data[[#This Row],[Age ]]&lt;=30,"Young Adult",Sales_Data[[#This Row],[Age ]]&lt;=45,"Senior",Sales_Data[[#This Row],[Age ]]&lt;=60,"Adult",Sales_Data[[#This Row],[Age ]]&gt;=61,"Elderly")</f>
        <v>Young Adult</v>
      </c>
    </row>
    <row r="364" spans="1:16" x14ac:dyDescent="0.3">
      <c r="A364" t="s">
        <v>413</v>
      </c>
      <c r="B364" t="s">
        <v>11</v>
      </c>
      <c r="C364" t="s">
        <v>42</v>
      </c>
      <c r="D364" t="s">
        <v>13</v>
      </c>
      <c r="E364" t="s">
        <v>14</v>
      </c>
      <c r="F364">
        <v>25</v>
      </c>
      <c r="G364" s="2">
        <v>997</v>
      </c>
      <c r="H364" s="2">
        <v>24925</v>
      </c>
      <c r="I364" t="s">
        <v>22</v>
      </c>
      <c r="J364" t="s">
        <v>34</v>
      </c>
      <c r="K364" t="str">
        <f>TEXT(Sales_Data[[#This Row],[Order Date]],"yyyy")</f>
        <v>2026</v>
      </c>
      <c r="L364" t="str">
        <f>TEXT(Sales_Data[[#This Row],[Order Date]],"mmmm")</f>
        <v>December</v>
      </c>
      <c r="M364" s="1">
        <v>46370</v>
      </c>
      <c r="N364" s="1">
        <v>32759</v>
      </c>
      <c r="O364">
        <f>DATEDIF(Sales_Data[[#This Row],[Date of Birth]],Sales_Data[[#This Row],[Order Date]],"y")</f>
        <v>37</v>
      </c>
      <c r="P364" t="str" cm="1">
        <f t="array" ref="P364">_xlfn.IFS(Sales_Data[[#This Row],[Age ]]&lt;=30,"Young Adult",Sales_Data[[#This Row],[Age ]]&lt;=45,"Senior",Sales_Data[[#This Row],[Age ]]&lt;=60,"Adult",Sales_Data[[#This Row],[Age ]]&gt;=61,"Elderly")</f>
        <v>Senior</v>
      </c>
    </row>
    <row r="365" spans="1:16" x14ac:dyDescent="0.3">
      <c r="A365" t="s">
        <v>414</v>
      </c>
      <c r="B365" t="s">
        <v>11</v>
      </c>
      <c r="C365" t="s">
        <v>65</v>
      </c>
      <c r="D365" t="s">
        <v>66</v>
      </c>
      <c r="E365" t="s">
        <v>92</v>
      </c>
      <c r="F365">
        <v>25</v>
      </c>
      <c r="G365" s="2">
        <v>8</v>
      </c>
      <c r="H365" s="2">
        <v>200</v>
      </c>
      <c r="I365" t="s">
        <v>22</v>
      </c>
      <c r="J365" t="s">
        <v>23</v>
      </c>
      <c r="K365" t="str">
        <f>TEXT(Sales_Data[[#This Row],[Order Date]],"yyyy")</f>
        <v>2026</v>
      </c>
      <c r="L365" t="str">
        <f>TEXT(Sales_Data[[#This Row],[Order Date]],"mmmm")</f>
        <v>August</v>
      </c>
      <c r="M365" s="1">
        <v>46260</v>
      </c>
      <c r="N365" s="1">
        <v>25347</v>
      </c>
      <c r="O365">
        <f>DATEDIF(Sales_Data[[#This Row],[Date of Birth]],Sales_Data[[#This Row],[Order Date]],"y")</f>
        <v>57</v>
      </c>
      <c r="P365" t="str" cm="1">
        <f t="array" ref="P365">_xlfn.IFS(Sales_Data[[#This Row],[Age ]]&lt;=30,"Young Adult",Sales_Data[[#This Row],[Age ]]&lt;=45,"Senior",Sales_Data[[#This Row],[Age ]]&lt;=60,"Adult",Sales_Data[[#This Row],[Age ]]&gt;=61,"Elderly")</f>
        <v>Adult</v>
      </c>
    </row>
    <row r="366" spans="1:16" x14ac:dyDescent="0.3">
      <c r="A366" t="s">
        <v>415</v>
      </c>
      <c r="B366" t="s">
        <v>18</v>
      </c>
      <c r="C366" t="s">
        <v>26</v>
      </c>
      <c r="D366" t="s">
        <v>13</v>
      </c>
      <c r="E366" t="s">
        <v>40</v>
      </c>
      <c r="F366">
        <v>2</v>
      </c>
      <c r="G366" s="2">
        <v>752</v>
      </c>
      <c r="H366" s="2">
        <v>1504</v>
      </c>
      <c r="I366" t="s">
        <v>15</v>
      </c>
      <c r="J366" t="s">
        <v>34</v>
      </c>
      <c r="K366" t="str">
        <f>TEXT(Sales_Data[[#This Row],[Order Date]],"yyyy")</f>
        <v>2026</v>
      </c>
      <c r="L366" t="str">
        <f>TEXT(Sales_Data[[#This Row],[Order Date]],"mmmm")</f>
        <v>May</v>
      </c>
      <c r="M366" s="1">
        <v>46146</v>
      </c>
      <c r="N366" s="1">
        <v>24571</v>
      </c>
      <c r="O366">
        <f>DATEDIF(Sales_Data[[#This Row],[Date of Birth]],Sales_Data[[#This Row],[Order Date]],"y")</f>
        <v>59</v>
      </c>
      <c r="P366" t="str" cm="1">
        <f t="array" ref="P366">_xlfn.IFS(Sales_Data[[#This Row],[Age ]]&lt;=30,"Young Adult",Sales_Data[[#This Row],[Age ]]&lt;=45,"Senior",Sales_Data[[#This Row],[Age ]]&lt;=60,"Adult",Sales_Data[[#This Row],[Age ]]&gt;=61,"Elderly")</f>
        <v>Adult</v>
      </c>
    </row>
    <row r="367" spans="1:16" x14ac:dyDescent="0.3">
      <c r="A367" t="s">
        <v>416</v>
      </c>
      <c r="B367" t="s">
        <v>25</v>
      </c>
      <c r="C367" t="s">
        <v>69</v>
      </c>
      <c r="D367" t="s">
        <v>30</v>
      </c>
      <c r="E367" t="s">
        <v>57</v>
      </c>
      <c r="F367">
        <v>36</v>
      </c>
      <c r="G367" s="2">
        <v>145</v>
      </c>
      <c r="H367" s="2">
        <v>5220</v>
      </c>
      <c r="I367" t="s">
        <v>22</v>
      </c>
      <c r="J367" t="s">
        <v>16</v>
      </c>
      <c r="K367" t="str">
        <f>TEXT(Sales_Data[[#This Row],[Order Date]],"yyyy")</f>
        <v>2026</v>
      </c>
      <c r="L367" t="str">
        <f>TEXT(Sales_Data[[#This Row],[Order Date]],"mmmm")</f>
        <v>June</v>
      </c>
      <c r="M367" s="1">
        <v>46193</v>
      </c>
      <c r="N367" s="1">
        <v>34427</v>
      </c>
      <c r="O367">
        <f>DATEDIF(Sales_Data[[#This Row],[Date of Birth]],Sales_Data[[#This Row],[Order Date]],"y")</f>
        <v>32</v>
      </c>
      <c r="P367" t="str" cm="1">
        <f t="array" ref="P367">_xlfn.IFS(Sales_Data[[#This Row],[Age ]]&lt;=30,"Young Adult",Sales_Data[[#This Row],[Age ]]&lt;=45,"Senior",Sales_Data[[#This Row],[Age ]]&lt;=60,"Adult",Sales_Data[[#This Row],[Age ]]&gt;=61,"Elderly")</f>
        <v>Senior</v>
      </c>
    </row>
    <row r="368" spans="1:16" x14ac:dyDescent="0.3">
      <c r="A368" t="s">
        <v>417</v>
      </c>
      <c r="B368" t="s">
        <v>29</v>
      </c>
      <c r="C368" t="s">
        <v>19</v>
      </c>
      <c r="D368" t="s">
        <v>30</v>
      </c>
      <c r="E368" t="s">
        <v>61</v>
      </c>
      <c r="F368">
        <v>28</v>
      </c>
      <c r="G368" s="2">
        <v>210</v>
      </c>
      <c r="H368" s="2">
        <v>5880</v>
      </c>
      <c r="I368" t="s">
        <v>15</v>
      </c>
      <c r="J368" t="s">
        <v>34</v>
      </c>
      <c r="K368" t="str">
        <f>TEXT(Sales_Data[[#This Row],[Order Date]],"yyyy")</f>
        <v>2026</v>
      </c>
      <c r="L368" t="str">
        <f>TEXT(Sales_Data[[#This Row],[Order Date]],"mmmm")</f>
        <v>January</v>
      </c>
      <c r="M368" s="1">
        <v>46026</v>
      </c>
      <c r="N368" s="1">
        <v>32599</v>
      </c>
      <c r="O368">
        <f>DATEDIF(Sales_Data[[#This Row],[Date of Birth]],Sales_Data[[#This Row],[Order Date]],"y")</f>
        <v>36</v>
      </c>
      <c r="P368" t="str" cm="1">
        <f t="array" ref="P368">_xlfn.IFS(Sales_Data[[#This Row],[Age ]]&lt;=30,"Young Adult",Sales_Data[[#This Row],[Age ]]&lt;=45,"Senior",Sales_Data[[#This Row],[Age ]]&lt;=60,"Adult",Sales_Data[[#This Row],[Age ]]&gt;=61,"Elderly")</f>
        <v>Senior</v>
      </c>
    </row>
    <row r="369" spans="1:16" x14ac:dyDescent="0.3">
      <c r="A369" t="s">
        <v>418</v>
      </c>
      <c r="B369" t="s">
        <v>25</v>
      </c>
      <c r="C369" t="s">
        <v>55</v>
      </c>
      <c r="D369" t="s">
        <v>66</v>
      </c>
      <c r="E369" t="s">
        <v>77</v>
      </c>
      <c r="F369">
        <v>20</v>
      </c>
      <c r="G369" s="2">
        <v>17</v>
      </c>
      <c r="H369" s="2">
        <v>340</v>
      </c>
      <c r="I369" t="s">
        <v>15</v>
      </c>
      <c r="J369" t="s">
        <v>23</v>
      </c>
      <c r="K369" t="str">
        <f>TEXT(Sales_Data[[#This Row],[Order Date]],"yyyy")</f>
        <v>2026</v>
      </c>
      <c r="L369" t="str">
        <f>TEXT(Sales_Data[[#This Row],[Order Date]],"mmmm")</f>
        <v>February</v>
      </c>
      <c r="M369" s="1">
        <v>46055</v>
      </c>
      <c r="N369" s="1">
        <v>37440</v>
      </c>
      <c r="O369">
        <f>DATEDIF(Sales_Data[[#This Row],[Date of Birth]],Sales_Data[[#This Row],[Order Date]],"y")</f>
        <v>23</v>
      </c>
      <c r="P369" t="str" cm="1">
        <f t="array" ref="P369">_xlfn.IFS(Sales_Data[[#This Row],[Age ]]&lt;=30,"Young Adult",Sales_Data[[#This Row],[Age ]]&lt;=45,"Senior",Sales_Data[[#This Row],[Age ]]&lt;=60,"Adult",Sales_Data[[#This Row],[Age ]]&gt;=61,"Elderly")</f>
        <v>Young Adult</v>
      </c>
    </row>
    <row r="370" spans="1:16" x14ac:dyDescent="0.3">
      <c r="A370" t="s">
        <v>419</v>
      </c>
      <c r="B370" t="s">
        <v>25</v>
      </c>
      <c r="C370" t="s">
        <v>19</v>
      </c>
      <c r="D370" t="s">
        <v>66</v>
      </c>
      <c r="E370" t="s">
        <v>67</v>
      </c>
      <c r="F370">
        <v>28</v>
      </c>
      <c r="G370" s="2">
        <v>7</v>
      </c>
      <c r="H370" s="2">
        <v>196</v>
      </c>
      <c r="I370" t="s">
        <v>15</v>
      </c>
      <c r="J370" t="s">
        <v>23</v>
      </c>
      <c r="K370" t="str">
        <f>TEXT(Sales_Data[[#This Row],[Order Date]],"yyyy")</f>
        <v>2026</v>
      </c>
      <c r="L370" t="str">
        <f>TEXT(Sales_Data[[#This Row],[Order Date]],"mmmm")</f>
        <v>May</v>
      </c>
      <c r="M370" s="1">
        <v>46169</v>
      </c>
      <c r="N370" s="1">
        <v>23984</v>
      </c>
      <c r="O370">
        <f>DATEDIF(Sales_Data[[#This Row],[Date of Birth]],Sales_Data[[#This Row],[Order Date]],"y")</f>
        <v>60</v>
      </c>
      <c r="P370" t="str" cm="1">
        <f t="array" ref="P370">_xlfn.IFS(Sales_Data[[#This Row],[Age ]]&lt;=30,"Young Adult",Sales_Data[[#This Row],[Age ]]&lt;=45,"Senior",Sales_Data[[#This Row],[Age ]]&lt;=60,"Adult",Sales_Data[[#This Row],[Age ]]&gt;=61,"Elderly")</f>
        <v>Adult</v>
      </c>
    </row>
    <row r="371" spans="1:16" x14ac:dyDescent="0.3">
      <c r="A371" t="s">
        <v>420</v>
      </c>
      <c r="B371" t="s">
        <v>18</v>
      </c>
      <c r="C371" t="s">
        <v>46</v>
      </c>
      <c r="D371" t="s">
        <v>30</v>
      </c>
      <c r="E371" t="s">
        <v>38</v>
      </c>
      <c r="F371">
        <v>41</v>
      </c>
      <c r="G371" s="2">
        <v>348</v>
      </c>
      <c r="H371" s="2">
        <v>14268</v>
      </c>
      <c r="I371" t="s">
        <v>22</v>
      </c>
      <c r="J371" t="s">
        <v>34</v>
      </c>
      <c r="K371" t="str">
        <f>TEXT(Sales_Data[[#This Row],[Order Date]],"yyyy")</f>
        <v>2026</v>
      </c>
      <c r="L371" t="str">
        <f>TEXT(Sales_Data[[#This Row],[Order Date]],"mmmm")</f>
        <v>February</v>
      </c>
      <c r="M371" s="1">
        <v>46069</v>
      </c>
      <c r="N371" s="1">
        <v>25271</v>
      </c>
      <c r="O371">
        <f>DATEDIF(Sales_Data[[#This Row],[Date of Birth]],Sales_Data[[#This Row],[Order Date]],"y")</f>
        <v>56</v>
      </c>
      <c r="P371" t="str" cm="1">
        <f t="array" ref="P371">_xlfn.IFS(Sales_Data[[#This Row],[Age ]]&lt;=30,"Young Adult",Sales_Data[[#This Row],[Age ]]&lt;=45,"Senior",Sales_Data[[#This Row],[Age ]]&lt;=60,"Adult",Sales_Data[[#This Row],[Age ]]&gt;=61,"Elderly")</f>
        <v>Adult</v>
      </c>
    </row>
    <row r="372" spans="1:16" x14ac:dyDescent="0.3">
      <c r="A372" t="s">
        <v>421</v>
      </c>
      <c r="B372" t="s">
        <v>11</v>
      </c>
      <c r="C372" t="s">
        <v>26</v>
      </c>
      <c r="D372" t="s">
        <v>20</v>
      </c>
      <c r="E372" t="s">
        <v>36</v>
      </c>
      <c r="F372">
        <v>6</v>
      </c>
      <c r="G372" s="2">
        <v>1394</v>
      </c>
      <c r="H372" s="2">
        <v>8364</v>
      </c>
      <c r="I372" t="s">
        <v>22</v>
      </c>
      <c r="J372" t="s">
        <v>34</v>
      </c>
      <c r="K372" t="str">
        <f>TEXT(Sales_Data[[#This Row],[Order Date]],"yyyy")</f>
        <v>2026</v>
      </c>
      <c r="L372" t="str">
        <f>TEXT(Sales_Data[[#This Row],[Order Date]],"mmmm")</f>
        <v>September</v>
      </c>
      <c r="M372" s="1">
        <v>46278</v>
      </c>
      <c r="N372" s="1">
        <v>36089</v>
      </c>
      <c r="O372">
        <f>DATEDIF(Sales_Data[[#This Row],[Date of Birth]],Sales_Data[[#This Row],[Order Date]],"y")</f>
        <v>27</v>
      </c>
      <c r="P372" t="str" cm="1">
        <f t="array" ref="P372">_xlfn.IFS(Sales_Data[[#This Row],[Age ]]&lt;=30,"Young Adult",Sales_Data[[#This Row],[Age ]]&lt;=45,"Senior",Sales_Data[[#This Row],[Age ]]&lt;=60,"Adult",Sales_Data[[#This Row],[Age ]]&gt;=61,"Elderly")</f>
        <v>Young Adult</v>
      </c>
    </row>
    <row r="373" spans="1:16" x14ac:dyDescent="0.3">
      <c r="A373" t="s">
        <v>422</v>
      </c>
      <c r="B373" t="s">
        <v>29</v>
      </c>
      <c r="C373" t="s">
        <v>19</v>
      </c>
      <c r="D373" t="s">
        <v>30</v>
      </c>
      <c r="E373" t="s">
        <v>47</v>
      </c>
      <c r="F373">
        <v>3</v>
      </c>
      <c r="G373" s="2">
        <v>319</v>
      </c>
      <c r="H373" s="2">
        <v>957</v>
      </c>
      <c r="I373" t="s">
        <v>22</v>
      </c>
      <c r="J373" t="s">
        <v>16</v>
      </c>
      <c r="K373" t="str">
        <f>TEXT(Sales_Data[[#This Row],[Order Date]],"yyyy")</f>
        <v>2026</v>
      </c>
      <c r="L373" t="str">
        <f>TEXT(Sales_Data[[#This Row],[Order Date]],"mmmm")</f>
        <v>August</v>
      </c>
      <c r="M373" s="1">
        <v>46249</v>
      </c>
      <c r="N373" s="1">
        <v>37648</v>
      </c>
      <c r="O373">
        <f>DATEDIF(Sales_Data[[#This Row],[Date of Birth]],Sales_Data[[#This Row],[Order Date]],"y")</f>
        <v>23</v>
      </c>
      <c r="P373" t="str" cm="1">
        <f t="array" ref="P373">_xlfn.IFS(Sales_Data[[#This Row],[Age ]]&lt;=30,"Young Adult",Sales_Data[[#This Row],[Age ]]&lt;=45,"Senior",Sales_Data[[#This Row],[Age ]]&lt;=60,"Adult",Sales_Data[[#This Row],[Age ]]&gt;=61,"Elderly")</f>
        <v>Young Adult</v>
      </c>
    </row>
    <row r="374" spans="1:16" x14ac:dyDescent="0.3">
      <c r="A374" t="s">
        <v>423</v>
      </c>
      <c r="B374" t="s">
        <v>29</v>
      </c>
      <c r="C374" t="s">
        <v>42</v>
      </c>
      <c r="D374" t="s">
        <v>13</v>
      </c>
      <c r="E374" t="s">
        <v>59</v>
      </c>
      <c r="F374">
        <v>49</v>
      </c>
      <c r="G374" s="2">
        <v>298</v>
      </c>
      <c r="H374" s="2">
        <v>14602</v>
      </c>
      <c r="I374" t="s">
        <v>15</v>
      </c>
      <c r="J374" t="s">
        <v>16</v>
      </c>
      <c r="K374" t="str">
        <f>TEXT(Sales_Data[[#This Row],[Order Date]],"yyyy")</f>
        <v>2026</v>
      </c>
      <c r="L374" t="str">
        <f>TEXT(Sales_Data[[#This Row],[Order Date]],"mmmm")</f>
        <v>February</v>
      </c>
      <c r="M374" s="1">
        <v>46075</v>
      </c>
      <c r="N374" s="1">
        <v>27615</v>
      </c>
      <c r="O374">
        <f>DATEDIF(Sales_Data[[#This Row],[Date of Birth]],Sales_Data[[#This Row],[Order Date]],"y")</f>
        <v>50</v>
      </c>
      <c r="P374" t="str" cm="1">
        <f t="array" ref="P374">_xlfn.IFS(Sales_Data[[#This Row],[Age ]]&lt;=30,"Young Adult",Sales_Data[[#This Row],[Age ]]&lt;=45,"Senior",Sales_Data[[#This Row],[Age ]]&lt;=60,"Adult",Sales_Data[[#This Row],[Age ]]&gt;=61,"Elderly")</f>
        <v>Adult</v>
      </c>
    </row>
    <row r="375" spans="1:16" x14ac:dyDescent="0.3">
      <c r="A375" t="s">
        <v>424</v>
      </c>
      <c r="B375" t="s">
        <v>25</v>
      </c>
      <c r="C375" t="s">
        <v>19</v>
      </c>
      <c r="D375" t="s">
        <v>13</v>
      </c>
      <c r="E375" t="s">
        <v>63</v>
      </c>
      <c r="F375">
        <v>34</v>
      </c>
      <c r="G375" s="2">
        <v>957</v>
      </c>
      <c r="H375" s="2">
        <v>32538</v>
      </c>
      <c r="I375" t="s">
        <v>22</v>
      </c>
      <c r="J375" t="s">
        <v>34</v>
      </c>
      <c r="K375" t="str">
        <f>TEXT(Sales_Data[[#This Row],[Order Date]],"yyyy")</f>
        <v>2026</v>
      </c>
      <c r="L375" t="str">
        <f>TEXT(Sales_Data[[#This Row],[Order Date]],"mmmm")</f>
        <v>September</v>
      </c>
      <c r="M375" s="1">
        <v>46287</v>
      </c>
      <c r="N375" s="1">
        <v>26467</v>
      </c>
      <c r="O375">
        <f>DATEDIF(Sales_Data[[#This Row],[Date of Birth]],Sales_Data[[#This Row],[Order Date]],"y")</f>
        <v>54</v>
      </c>
      <c r="P375" t="str" cm="1">
        <f t="array" ref="P375">_xlfn.IFS(Sales_Data[[#This Row],[Age ]]&lt;=30,"Young Adult",Sales_Data[[#This Row],[Age ]]&lt;=45,"Senior",Sales_Data[[#This Row],[Age ]]&lt;=60,"Adult",Sales_Data[[#This Row],[Age ]]&gt;=61,"Elderly")</f>
        <v>Adult</v>
      </c>
    </row>
    <row r="376" spans="1:16" x14ac:dyDescent="0.3">
      <c r="A376" t="s">
        <v>425</v>
      </c>
      <c r="B376" t="s">
        <v>11</v>
      </c>
      <c r="C376" t="s">
        <v>12</v>
      </c>
      <c r="D376" t="s">
        <v>13</v>
      </c>
      <c r="E376" t="s">
        <v>63</v>
      </c>
      <c r="F376">
        <v>46</v>
      </c>
      <c r="G376" s="2">
        <v>171</v>
      </c>
      <c r="H376" s="2">
        <v>7866</v>
      </c>
      <c r="I376" t="s">
        <v>22</v>
      </c>
      <c r="J376" t="s">
        <v>23</v>
      </c>
      <c r="K376" t="str">
        <f>TEXT(Sales_Data[[#This Row],[Order Date]],"yyyy")</f>
        <v>2026</v>
      </c>
      <c r="L376" t="str">
        <f>TEXT(Sales_Data[[#This Row],[Order Date]],"mmmm")</f>
        <v>September</v>
      </c>
      <c r="M376" s="1">
        <v>46284</v>
      </c>
      <c r="N376" s="1">
        <v>30401</v>
      </c>
      <c r="O376">
        <f>DATEDIF(Sales_Data[[#This Row],[Date of Birth]],Sales_Data[[#This Row],[Order Date]],"y")</f>
        <v>43</v>
      </c>
      <c r="P376" t="str" cm="1">
        <f t="array" ref="P376">_xlfn.IFS(Sales_Data[[#This Row],[Age ]]&lt;=30,"Young Adult",Sales_Data[[#This Row],[Age ]]&lt;=45,"Senior",Sales_Data[[#This Row],[Age ]]&lt;=60,"Adult",Sales_Data[[#This Row],[Age ]]&gt;=61,"Elderly")</f>
        <v>Senior</v>
      </c>
    </row>
    <row r="377" spans="1:16" x14ac:dyDescent="0.3">
      <c r="A377" t="s">
        <v>426</v>
      </c>
      <c r="B377" t="s">
        <v>18</v>
      </c>
      <c r="C377" t="s">
        <v>42</v>
      </c>
      <c r="D377" t="s">
        <v>30</v>
      </c>
      <c r="E377" t="s">
        <v>38</v>
      </c>
      <c r="F377">
        <v>13</v>
      </c>
      <c r="G377" s="2">
        <v>179</v>
      </c>
      <c r="H377" s="2">
        <v>2327</v>
      </c>
      <c r="I377" t="s">
        <v>15</v>
      </c>
      <c r="J377" t="s">
        <v>16</v>
      </c>
      <c r="K377" t="str">
        <f>TEXT(Sales_Data[[#This Row],[Order Date]],"yyyy")</f>
        <v>2026</v>
      </c>
      <c r="L377" t="str">
        <f>TEXT(Sales_Data[[#This Row],[Order Date]],"mmmm")</f>
        <v>January</v>
      </c>
      <c r="M377" s="1">
        <v>46036</v>
      </c>
      <c r="N377" s="1">
        <v>31699</v>
      </c>
      <c r="O377">
        <f>DATEDIF(Sales_Data[[#This Row],[Date of Birth]],Sales_Data[[#This Row],[Order Date]],"y")</f>
        <v>39</v>
      </c>
      <c r="P377" t="str" cm="1">
        <f t="array" ref="P377">_xlfn.IFS(Sales_Data[[#This Row],[Age ]]&lt;=30,"Young Adult",Sales_Data[[#This Row],[Age ]]&lt;=45,"Senior",Sales_Data[[#This Row],[Age ]]&lt;=60,"Adult",Sales_Data[[#This Row],[Age ]]&gt;=61,"Elderly")</f>
        <v>Senior</v>
      </c>
    </row>
    <row r="378" spans="1:16" x14ac:dyDescent="0.3">
      <c r="A378" t="s">
        <v>427</v>
      </c>
      <c r="B378" t="s">
        <v>18</v>
      </c>
      <c r="C378" t="s">
        <v>12</v>
      </c>
      <c r="D378" t="s">
        <v>30</v>
      </c>
      <c r="E378" t="s">
        <v>61</v>
      </c>
      <c r="F378">
        <v>17</v>
      </c>
      <c r="G378" s="2">
        <v>377</v>
      </c>
      <c r="H378" s="2">
        <v>6409</v>
      </c>
      <c r="I378" t="s">
        <v>22</v>
      </c>
      <c r="J378" t="s">
        <v>16</v>
      </c>
      <c r="K378" t="str">
        <f>TEXT(Sales_Data[[#This Row],[Order Date]],"yyyy")</f>
        <v>2026</v>
      </c>
      <c r="L378" t="str">
        <f>TEXT(Sales_Data[[#This Row],[Order Date]],"mmmm")</f>
        <v>December</v>
      </c>
      <c r="M378" s="1">
        <v>46382</v>
      </c>
      <c r="N378" s="1">
        <v>31629</v>
      </c>
      <c r="O378">
        <f>DATEDIF(Sales_Data[[#This Row],[Date of Birth]],Sales_Data[[#This Row],[Order Date]],"y")</f>
        <v>40</v>
      </c>
      <c r="P378" t="str" cm="1">
        <f t="array" ref="P378">_xlfn.IFS(Sales_Data[[#This Row],[Age ]]&lt;=30,"Young Adult",Sales_Data[[#This Row],[Age ]]&lt;=45,"Senior",Sales_Data[[#This Row],[Age ]]&lt;=60,"Adult",Sales_Data[[#This Row],[Age ]]&gt;=61,"Elderly")</f>
        <v>Senior</v>
      </c>
    </row>
    <row r="379" spans="1:16" x14ac:dyDescent="0.3">
      <c r="A379" t="s">
        <v>428</v>
      </c>
      <c r="B379" t="s">
        <v>18</v>
      </c>
      <c r="C379" t="s">
        <v>42</v>
      </c>
      <c r="D379" t="s">
        <v>20</v>
      </c>
      <c r="E379" t="s">
        <v>27</v>
      </c>
      <c r="F379">
        <v>21</v>
      </c>
      <c r="G379" s="2">
        <v>645</v>
      </c>
      <c r="H379" s="2">
        <v>13545</v>
      </c>
      <c r="I379" t="s">
        <v>15</v>
      </c>
      <c r="J379" t="s">
        <v>34</v>
      </c>
      <c r="K379" t="str">
        <f>TEXT(Sales_Data[[#This Row],[Order Date]],"yyyy")</f>
        <v>2026</v>
      </c>
      <c r="L379" t="str">
        <f>TEXT(Sales_Data[[#This Row],[Order Date]],"mmmm")</f>
        <v>September</v>
      </c>
      <c r="M379" s="1">
        <v>46280</v>
      </c>
      <c r="N379" s="1">
        <v>27245</v>
      </c>
      <c r="O379">
        <f>DATEDIF(Sales_Data[[#This Row],[Date of Birth]],Sales_Data[[#This Row],[Order Date]],"y")</f>
        <v>52</v>
      </c>
      <c r="P379" t="str" cm="1">
        <f t="array" ref="P379">_xlfn.IFS(Sales_Data[[#This Row],[Age ]]&lt;=30,"Young Adult",Sales_Data[[#This Row],[Age ]]&lt;=45,"Senior",Sales_Data[[#This Row],[Age ]]&lt;=60,"Adult",Sales_Data[[#This Row],[Age ]]&gt;=61,"Elderly")</f>
        <v>Adult</v>
      </c>
    </row>
    <row r="380" spans="1:16" x14ac:dyDescent="0.3">
      <c r="A380" t="s">
        <v>429</v>
      </c>
      <c r="B380" t="s">
        <v>18</v>
      </c>
      <c r="C380" t="s">
        <v>12</v>
      </c>
      <c r="D380" t="s">
        <v>30</v>
      </c>
      <c r="E380" t="s">
        <v>38</v>
      </c>
      <c r="F380">
        <v>37</v>
      </c>
      <c r="G380" s="2">
        <v>652</v>
      </c>
      <c r="H380" s="2">
        <v>24124</v>
      </c>
      <c r="I380" t="s">
        <v>15</v>
      </c>
      <c r="J380" t="s">
        <v>34</v>
      </c>
      <c r="K380" t="str">
        <f>TEXT(Sales_Data[[#This Row],[Order Date]],"yyyy")</f>
        <v>2026</v>
      </c>
      <c r="L380" t="str">
        <f>TEXT(Sales_Data[[#This Row],[Order Date]],"mmmm")</f>
        <v>October</v>
      </c>
      <c r="M380" s="1">
        <v>46320</v>
      </c>
      <c r="N380" s="1">
        <v>37909</v>
      </c>
      <c r="O380">
        <f>DATEDIF(Sales_Data[[#This Row],[Date of Birth]],Sales_Data[[#This Row],[Order Date]],"y")</f>
        <v>23</v>
      </c>
      <c r="P380" t="str" cm="1">
        <f t="array" ref="P380">_xlfn.IFS(Sales_Data[[#This Row],[Age ]]&lt;=30,"Young Adult",Sales_Data[[#This Row],[Age ]]&lt;=45,"Senior",Sales_Data[[#This Row],[Age ]]&lt;=60,"Adult",Sales_Data[[#This Row],[Age ]]&gt;=61,"Elderly")</f>
        <v>Young Adult</v>
      </c>
    </row>
    <row r="381" spans="1:16" x14ac:dyDescent="0.3">
      <c r="A381" t="s">
        <v>430</v>
      </c>
      <c r="B381" t="s">
        <v>25</v>
      </c>
      <c r="C381" t="s">
        <v>69</v>
      </c>
      <c r="D381" t="s">
        <v>66</v>
      </c>
      <c r="E381" t="s">
        <v>70</v>
      </c>
      <c r="F381">
        <v>17</v>
      </c>
      <c r="G381" s="2">
        <v>26</v>
      </c>
      <c r="H381" s="2">
        <v>442</v>
      </c>
      <c r="I381" t="s">
        <v>15</v>
      </c>
      <c r="J381" t="s">
        <v>34</v>
      </c>
      <c r="K381" t="str">
        <f>TEXT(Sales_Data[[#This Row],[Order Date]],"yyyy")</f>
        <v>2026</v>
      </c>
      <c r="L381" t="str">
        <f>TEXT(Sales_Data[[#This Row],[Order Date]],"mmmm")</f>
        <v>November</v>
      </c>
      <c r="M381" s="1">
        <v>46342</v>
      </c>
      <c r="N381" s="1">
        <v>30313</v>
      </c>
      <c r="O381">
        <f>DATEDIF(Sales_Data[[#This Row],[Date of Birth]],Sales_Data[[#This Row],[Order Date]],"y")</f>
        <v>43</v>
      </c>
      <c r="P381" t="str" cm="1">
        <f t="array" ref="P381">_xlfn.IFS(Sales_Data[[#This Row],[Age ]]&lt;=30,"Young Adult",Sales_Data[[#This Row],[Age ]]&lt;=45,"Senior",Sales_Data[[#This Row],[Age ]]&lt;=60,"Adult",Sales_Data[[#This Row],[Age ]]&gt;=61,"Elderly")</f>
        <v>Senior</v>
      </c>
    </row>
    <row r="382" spans="1:16" x14ac:dyDescent="0.3">
      <c r="A382" t="s">
        <v>431</v>
      </c>
      <c r="B382" t="s">
        <v>25</v>
      </c>
      <c r="C382" t="s">
        <v>69</v>
      </c>
      <c r="D382" t="s">
        <v>20</v>
      </c>
      <c r="E382" t="s">
        <v>43</v>
      </c>
      <c r="F382">
        <v>40</v>
      </c>
      <c r="G382" s="2">
        <v>1326</v>
      </c>
      <c r="H382" s="2">
        <v>53040</v>
      </c>
      <c r="I382" t="s">
        <v>22</v>
      </c>
      <c r="J382" t="s">
        <v>34</v>
      </c>
      <c r="K382" t="str">
        <f>TEXT(Sales_Data[[#This Row],[Order Date]],"yyyy")</f>
        <v>2026</v>
      </c>
      <c r="L382" t="str">
        <f>TEXT(Sales_Data[[#This Row],[Order Date]],"mmmm")</f>
        <v>November</v>
      </c>
      <c r="M382" s="1">
        <v>46349</v>
      </c>
      <c r="N382" s="1">
        <v>38528</v>
      </c>
      <c r="O382">
        <f>DATEDIF(Sales_Data[[#This Row],[Date of Birth]],Sales_Data[[#This Row],[Order Date]],"y")</f>
        <v>21</v>
      </c>
      <c r="P382" t="str" cm="1">
        <f t="array" ref="P382">_xlfn.IFS(Sales_Data[[#This Row],[Age ]]&lt;=30,"Young Adult",Sales_Data[[#This Row],[Age ]]&lt;=45,"Senior",Sales_Data[[#This Row],[Age ]]&lt;=60,"Adult",Sales_Data[[#This Row],[Age ]]&gt;=61,"Elderly")</f>
        <v>Young Adult</v>
      </c>
    </row>
    <row r="383" spans="1:16" x14ac:dyDescent="0.3">
      <c r="A383" t="s">
        <v>432</v>
      </c>
      <c r="B383" t="s">
        <v>18</v>
      </c>
      <c r="C383" t="s">
        <v>26</v>
      </c>
      <c r="D383" t="s">
        <v>30</v>
      </c>
      <c r="E383" t="s">
        <v>57</v>
      </c>
      <c r="F383">
        <v>48</v>
      </c>
      <c r="G383" s="2">
        <v>536</v>
      </c>
      <c r="H383" s="2">
        <v>25728</v>
      </c>
      <c r="I383" t="s">
        <v>22</v>
      </c>
      <c r="J383" t="s">
        <v>34</v>
      </c>
      <c r="K383" t="str">
        <f>TEXT(Sales_Data[[#This Row],[Order Date]],"yyyy")</f>
        <v>2026</v>
      </c>
      <c r="L383" t="str">
        <f>TEXT(Sales_Data[[#This Row],[Order Date]],"mmmm")</f>
        <v>May</v>
      </c>
      <c r="M383" s="1">
        <v>46154</v>
      </c>
      <c r="N383" s="1">
        <v>24703</v>
      </c>
      <c r="O383">
        <f>DATEDIF(Sales_Data[[#This Row],[Date of Birth]],Sales_Data[[#This Row],[Order Date]],"y")</f>
        <v>58</v>
      </c>
      <c r="P383" t="str" cm="1">
        <f t="array" ref="P383">_xlfn.IFS(Sales_Data[[#This Row],[Age ]]&lt;=30,"Young Adult",Sales_Data[[#This Row],[Age ]]&lt;=45,"Senior",Sales_Data[[#This Row],[Age ]]&lt;=60,"Adult",Sales_Data[[#This Row],[Age ]]&gt;=61,"Elderly")</f>
        <v>Adult</v>
      </c>
    </row>
    <row r="384" spans="1:16" x14ac:dyDescent="0.3">
      <c r="A384" t="s">
        <v>433</v>
      </c>
      <c r="B384" t="s">
        <v>11</v>
      </c>
      <c r="C384" t="s">
        <v>65</v>
      </c>
      <c r="D384" t="s">
        <v>66</v>
      </c>
      <c r="E384" t="s">
        <v>70</v>
      </c>
      <c r="F384">
        <v>45</v>
      </c>
      <c r="G384" s="2">
        <v>45</v>
      </c>
      <c r="H384" s="2">
        <v>2025</v>
      </c>
      <c r="I384" t="s">
        <v>22</v>
      </c>
      <c r="J384" t="s">
        <v>16</v>
      </c>
      <c r="K384" t="str">
        <f>TEXT(Sales_Data[[#This Row],[Order Date]],"yyyy")</f>
        <v>2026</v>
      </c>
      <c r="L384" t="str">
        <f>TEXT(Sales_Data[[#This Row],[Order Date]],"mmmm")</f>
        <v>February</v>
      </c>
      <c r="M384" s="1">
        <v>46081</v>
      </c>
      <c r="N384" s="1">
        <v>26440</v>
      </c>
      <c r="O384">
        <f>DATEDIF(Sales_Data[[#This Row],[Date of Birth]],Sales_Data[[#This Row],[Order Date]],"y")</f>
        <v>53</v>
      </c>
      <c r="P384" t="str" cm="1">
        <f t="array" ref="P384">_xlfn.IFS(Sales_Data[[#This Row],[Age ]]&lt;=30,"Young Adult",Sales_Data[[#This Row],[Age ]]&lt;=45,"Senior",Sales_Data[[#This Row],[Age ]]&lt;=60,"Adult",Sales_Data[[#This Row],[Age ]]&gt;=61,"Elderly")</f>
        <v>Adult</v>
      </c>
    </row>
    <row r="385" spans="1:16" x14ac:dyDescent="0.3">
      <c r="A385" t="s">
        <v>434</v>
      </c>
      <c r="B385" t="s">
        <v>18</v>
      </c>
      <c r="C385" t="s">
        <v>19</v>
      </c>
      <c r="D385" t="s">
        <v>20</v>
      </c>
      <c r="E385" t="s">
        <v>36</v>
      </c>
      <c r="F385">
        <v>18</v>
      </c>
      <c r="G385" s="2">
        <v>933</v>
      </c>
      <c r="H385" s="2">
        <v>16794</v>
      </c>
      <c r="I385" t="s">
        <v>22</v>
      </c>
      <c r="J385" t="s">
        <v>23</v>
      </c>
      <c r="K385" t="str">
        <f>TEXT(Sales_Data[[#This Row],[Order Date]],"yyyy")</f>
        <v>2026</v>
      </c>
      <c r="L385" t="str">
        <f>TEXT(Sales_Data[[#This Row],[Order Date]],"mmmm")</f>
        <v>October</v>
      </c>
      <c r="M385" s="1">
        <v>46316</v>
      </c>
      <c r="N385" s="1">
        <v>29952</v>
      </c>
      <c r="O385">
        <f>DATEDIF(Sales_Data[[#This Row],[Date of Birth]],Sales_Data[[#This Row],[Order Date]],"y")</f>
        <v>44</v>
      </c>
      <c r="P385" t="str" cm="1">
        <f t="array" ref="P385">_xlfn.IFS(Sales_Data[[#This Row],[Age ]]&lt;=30,"Young Adult",Sales_Data[[#This Row],[Age ]]&lt;=45,"Senior",Sales_Data[[#This Row],[Age ]]&lt;=60,"Adult",Sales_Data[[#This Row],[Age ]]&gt;=61,"Elderly")</f>
        <v>Senior</v>
      </c>
    </row>
    <row r="386" spans="1:16" x14ac:dyDescent="0.3">
      <c r="A386" t="s">
        <v>435</v>
      </c>
      <c r="B386" t="s">
        <v>18</v>
      </c>
      <c r="C386" t="s">
        <v>65</v>
      </c>
      <c r="D386" t="s">
        <v>20</v>
      </c>
      <c r="E386" t="s">
        <v>104</v>
      </c>
      <c r="F386">
        <v>49</v>
      </c>
      <c r="G386" s="2">
        <v>1137</v>
      </c>
      <c r="H386" s="2">
        <v>55713</v>
      </c>
      <c r="I386" t="s">
        <v>15</v>
      </c>
      <c r="J386" t="s">
        <v>34</v>
      </c>
      <c r="K386" t="str">
        <f>TEXT(Sales_Data[[#This Row],[Order Date]],"yyyy")</f>
        <v>2026</v>
      </c>
      <c r="L386" t="str">
        <f>TEXT(Sales_Data[[#This Row],[Order Date]],"mmmm")</f>
        <v>June</v>
      </c>
      <c r="M386" s="1">
        <v>46200</v>
      </c>
      <c r="N386" s="1">
        <v>23778</v>
      </c>
      <c r="O386">
        <f>DATEDIF(Sales_Data[[#This Row],[Date of Birth]],Sales_Data[[#This Row],[Order Date]],"y")</f>
        <v>61</v>
      </c>
      <c r="P386" t="str" cm="1">
        <f t="array" ref="P386">_xlfn.IFS(Sales_Data[[#This Row],[Age ]]&lt;=30,"Young Adult",Sales_Data[[#This Row],[Age ]]&lt;=45,"Senior",Sales_Data[[#This Row],[Age ]]&lt;=60,"Adult",Sales_Data[[#This Row],[Age ]]&gt;=61,"Elderly")</f>
        <v>Elderly</v>
      </c>
    </row>
    <row r="387" spans="1:16" x14ac:dyDescent="0.3">
      <c r="A387" t="s">
        <v>436</v>
      </c>
      <c r="B387" t="s">
        <v>11</v>
      </c>
      <c r="C387" t="s">
        <v>19</v>
      </c>
      <c r="D387" t="s">
        <v>20</v>
      </c>
      <c r="E387" t="s">
        <v>43</v>
      </c>
      <c r="F387">
        <v>50</v>
      </c>
      <c r="G387" s="2">
        <v>1153</v>
      </c>
      <c r="H387" s="2">
        <v>57650</v>
      </c>
      <c r="I387" t="s">
        <v>15</v>
      </c>
      <c r="J387" t="s">
        <v>23</v>
      </c>
      <c r="K387" t="str">
        <f>TEXT(Sales_Data[[#This Row],[Order Date]],"yyyy")</f>
        <v>2026</v>
      </c>
      <c r="L387" t="str">
        <f>TEXT(Sales_Data[[#This Row],[Order Date]],"mmmm")</f>
        <v>October</v>
      </c>
      <c r="M387" s="1">
        <v>46296</v>
      </c>
      <c r="N387" s="1">
        <v>30139</v>
      </c>
      <c r="O387">
        <f>DATEDIF(Sales_Data[[#This Row],[Date of Birth]],Sales_Data[[#This Row],[Order Date]],"y")</f>
        <v>44</v>
      </c>
      <c r="P387" t="str" cm="1">
        <f t="array" ref="P387">_xlfn.IFS(Sales_Data[[#This Row],[Age ]]&lt;=30,"Young Adult",Sales_Data[[#This Row],[Age ]]&lt;=45,"Senior",Sales_Data[[#This Row],[Age ]]&lt;=60,"Adult",Sales_Data[[#This Row],[Age ]]&gt;=61,"Elderly")</f>
        <v>Senior</v>
      </c>
    </row>
    <row r="388" spans="1:16" x14ac:dyDescent="0.3">
      <c r="A388" t="s">
        <v>437</v>
      </c>
      <c r="B388" t="s">
        <v>11</v>
      </c>
      <c r="C388" t="s">
        <v>46</v>
      </c>
      <c r="D388" t="s">
        <v>30</v>
      </c>
      <c r="E388" t="s">
        <v>57</v>
      </c>
      <c r="F388">
        <v>30</v>
      </c>
      <c r="G388" s="2">
        <v>101</v>
      </c>
      <c r="H388" s="2">
        <v>3030</v>
      </c>
      <c r="I388" t="s">
        <v>22</v>
      </c>
      <c r="J388" t="s">
        <v>34</v>
      </c>
      <c r="K388" t="str">
        <f>TEXT(Sales_Data[[#This Row],[Order Date]],"yyyy")</f>
        <v>2026</v>
      </c>
      <c r="L388" t="str">
        <f>TEXT(Sales_Data[[#This Row],[Order Date]],"mmmm")</f>
        <v>June</v>
      </c>
      <c r="M388" s="1">
        <v>46196</v>
      </c>
      <c r="N388" s="1">
        <v>28088</v>
      </c>
      <c r="O388">
        <f>DATEDIF(Sales_Data[[#This Row],[Date of Birth]],Sales_Data[[#This Row],[Order Date]],"y")</f>
        <v>49</v>
      </c>
      <c r="P388" t="str" cm="1">
        <f t="array" ref="P388">_xlfn.IFS(Sales_Data[[#This Row],[Age ]]&lt;=30,"Young Adult",Sales_Data[[#This Row],[Age ]]&lt;=45,"Senior",Sales_Data[[#This Row],[Age ]]&lt;=60,"Adult",Sales_Data[[#This Row],[Age ]]&gt;=61,"Elderly")</f>
        <v>Adult</v>
      </c>
    </row>
    <row r="389" spans="1:16" x14ac:dyDescent="0.3">
      <c r="A389" t="s">
        <v>438</v>
      </c>
      <c r="B389" t="s">
        <v>25</v>
      </c>
      <c r="C389" t="s">
        <v>55</v>
      </c>
      <c r="D389" t="s">
        <v>20</v>
      </c>
      <c r="E389" t="s">
        <v>21</v>
      </c>
      <c r="F389">
        <v>44</v>
      </c>
      <c r="G389" s="2">
        <v>142</v>
      </c>
      <c r="H389" s="2">
        <v>6248</v>
      </c>
      <c r="I389" t="s">
        <v>15</v>
      </c>
      <c r="J389" t="s">
        <v>34</v>
      </c>
      <c r="K389" t="str">
        <f>TEXT(Sales_Data[[#This Row],[Order Date]],"yyyy")</f>
        <v>2026</v>
      </c>
      <c r="L389" t="str">
        <f>TEXT(Sales_Data[[#This Row],[Order Date]],"mmmm")</f>
        <v>April</v>
      </c>
      <c r="M389" s="1">
        <v>46124</v>
      </c>
      <c r="N389" s="1">
        <v>36589</v>
      </c>
      <c r="O389">
        <f>DATEDIF(Sales_Data[[#This Row],[Date of Birth]],Sales_Data[[#This Row],[Order Date]],"y")</f>
        <v>26</v>
      </c>
      <c r="P389" t="str" cm="1">
        <f t="array" ref="P389">_xlfn.IFS(Sales_Data[[#This Row],[Age ]]&lt;=30,"Young Adult",Sales_Data[[#This Row],[Age ]]&lt;=45,"Senior",Sales_Data[[#This Row],[Age ]]&lt;=60,"Adult",Sales_Data[[#This Row],[Age ]]&gt;=61,"Elderly")</f>
        <v>Young Adult</v>
      </c>
    </row>
    <row r="390" spans="1:16" x14ac:dyDescent="0.3">
      <c r="A390" t="s">
        <v>439</v>
      </c>
      <c r="B390" t="s">
        <v>18</v>
      </c>
      <c r="C390" t="s">
        <v>46</v>
      </c>
      <c r="D390" t="s">
        <v>66</v>
      </c>
      <c r="E390" t="s">
        <v>77</v>
      </c>
      <c r="F390">
        <v>11</v>
      </c>
      <c r="G390" s="2">
        <v>18</v>
      </c>
      <c r="H390" s="2">
        <v>198</v>
      </c>
      <c r="I390" t="s">
        <v>15</v>
      </c>
      <c r="J390" t="s">
        <v>34</v>
      </c>
      <c r="K390" t="str">
        <f>TEXT(Sales_Data[[#This Row],[Order Date]],"yyyy")</f>
        <v>2026</v>
      </c>
      <c r="L390" t="str">
        <f>TEXT(Sales_Data[[#This Row],[Order Date]],"mmmm")</f>
        <v>December</v>
      </c>
      <c r="M390" s="1">
        <v>46383</v>
      </c>
      <c r="N390" s="1">
        <v>36606</v>
      </c>
      <c r="O390">
        <f>DATEDIF(Sales_Data[[#This Row],[Date of Birth]],Sales_Data[[#This Row],[Order Date]],"y")</f>
        <v>26</v>
      </c>
      <c r="P390" t="str" cm="1">
        <f t="array" ref="P390">_xlfn.IFS(Sales_Data[[#This Row],[Age ]]&lt;=30,"Young Adult",Sales_Data[[#This Row],[Age ]]&lt;=45,"Senior",Sales_Data[[#This Row],[Age ]]&lt;=60,"Adult",Sales_Data[[#This Row],[Age ]]&gt;=61,"Elderly")</f>
        <v>Young Adult</v>
      </c>
    </row>
    <row r="391" spans="1:16" x14ac:dyDescent="0.3">
      <c r="A391" t="s">
        <v>440</v>
      </c>
      <c r="B391" t="s">
        <v>11</v>
      </c>
      <c r="C391" t="s">
        <v>19</v>
      </c>
      <c r="D391" t="s">
        <v>13</v>
      </c>
      <c r="E391" t="s">
        <v>59</v>
      </c>
      <c r="F391">
        <v>37</v>
      </c>
      <c r="G391" s="2">
        <v>538</v>
      </c>
      <c r="H391" s="2">
        <v>19906</v>
      </c>
      <c r="I391" t="s">
        <v>22</v>
      </c>
      <c r="J391" t="s">
        <v>16</v>
      </c>
      <c r="K391" t="str">
        <f>TEXT(Sales_Data[[#This Row],[Order Date]],"yyyy")</f>
        <v>2026</v>
      </c>
      <c r="L391" t="str">
        <f>TEXT(Sales_Data[[#This Row],[Order Date]],"mmmm")</f>
        <v>April</v>
      </c>
      <c r="M391" s="1">
        <v>46133</v>
      </c>
      <c r="N391" s="1">
        <v>31197</v>
      </c>
      <c r="O391">
        <f>DATEDIF(Sales_Data[[#This Row],[Date of Birth]],Sales_Data[[#This Row],[Order Date]],"y")</f>
        <v>40</v>
      </c>
      <c r="P391" t="str" cm="1">
        <f t="array" ref="P391">_xlfn.IFS(Sales_Data[[#This Row],[Age ]]&lt;=30,"Young Adult",Sales_Data[[#This Row],[Age ]]&lt;=45,"Senior",Sales_Data[[#This Row],[Age ]]&lt;=60,"Adult",Sales_Data[[#This Row],[Age ]]&gt;=61,"Elderly")</f>
        <v>Senior</v>
      </c>
    </row>
    <row r="392" spans="1:16" x14ac:dyDescent="0.3">
      <c r="A392" t="s">
        <v>441</v>
      </c>
      <c r="B392" t="s">
        <v>11</v>
      </c>
      <c r="C392" t="s">
        <v>65</v>
      </c>
      <c r="D392" t="s">
        <v>20</v>
      </c>
      <c r="E392" t="s">
        <v>27</v>
      </c>
      <c r="F392">
        <v>2</v>
      </c>
      <c r="G392" s="2">
        <v>1477</v>
      </c>
      <c r="H392" s="2">
        <v>2954</v>
      </c>
      <c r="I392" t="s">
        <v>15</v>
      </c>
      <c r="J392" t="s">
        <v>23</v>
      </c>
      <c r="K392" t="str">
        <f>TEXT(Sales_Data[[#This Row],[Order Date]],"yyyy")</f>
        <v>2026</v>
      </c>
      <c r="L392" t="str">
        <f>TEXT(Sales_Data[[#This Row],[Order Date]],"mmmm")</f>
        <v>January</v>
      </c>
      <c r="M392" s="1">
        <v>46038</v>
      </c>
      <c r="N392" s="1">
        <v>28416</v>
      </c>
      <c r="O392">
        <f>DATEDIF(Sales_Data[[#This Row],[Date of Birth]],Sales_Data[[#This Row],[Order Date]],"y")</f>
        <v>48</v>
      </c>
      <c r="P392" t="str" cm="1">
        <f t="array" ref="P392">_xlfn.IFS(Sales_Data[[#This Row],[Age ]]&lt;=30,"Young Adult",Sales_Data[[#This Row],[Age ]]&lt;=45,"Senior",Sales_Data[[#This Row],[Age ]]&lt;=60,"Adult",Sales_Data[[#This Row],[Age ]]&gt;=61,"Elderly")</f>
        <v>Adult</v>
      </c>
    </row>
    <row r="393" spans="1:16" x14ac:dyDescent="0.3">
      <c r="A393" t="s">
        <v>442</v>
      </c>
      <c r="B393" t="s">
        <v>29</v>
      </c>
      <c r="C393" t="s">
        <v>42</v>
      </c>
      <c r="D393" t="s">
        <v>66</v>
      </c>
      <c r="E393" t="s">
        <v>92</v>
      </c>
      <c r="F393">
        <v>20</v>
      </c>
      <c r="G393" s="2">
        <v>47</v>
      </c>
      <c r="H393" s="2">
        <v>940</v>
      </c>
      <c r="I393" t="s">
        <v>22</v>
      </c>
      <c r="J393" t="s">
        <v>34</v>
      </c>
      <c r="K393" t="str">
        <f>TEXT(Sales_Data[[#This Row],[Order Date]],"yyyy")</f>
        <v>2026</v>
      </c>
      <c r="L393" t="str">
        <f>TEXT(Sales_Data[[#This Row],[Order Date]],"mmmm")</f>
        <v>December</v>
      </c>
      <c r="M393" s="1">
        <v>46377</v>
      </c>
      <c r="N393" s="1">
        <v>30673</v>
      </c>
      <c r="O393">
        <f>DATEDIF(Sales_Data[[#This Row],[Date of Birth]],Sales_Data[[#This Row],[Order Date]],"y")</f>
        <v>42</v>
      </c>
      <c r="P393" t="str" cm="1">
        <f t="array" ref="P393">_xlfn.IFS(Sales_Data[[#This Row],[Age ]]&lt;=30,"Young Adult",Sales_Data[[#This Row],[Age ]]&lt;=45,"Senior",Sales_Data[[#This Row],[Age ]]&lt;=60,"Adult",Sales_Data[[#This Row],[Age ]]&gt;=61,"Elderly")</f>
        <v>Senior</v>
      </c>
    </row>
    <row r="394" spans="1:16" x14ac:dyDescent="0.3">
      <c r="A394" t="s">
        <v>443</v>
      </c>
      <c r="B394" t="s">
        <v>25</v>
      </c>
      <c r="C394" t="s">
        <v>12</v>
      </c>
      <c r="D394" t="s">
        <v>20</v>
      </c>
      <c r="E394" t="s">
        <v>36</v>
      </c>
      <c r="F394">
        <v>14</v>
      </c>
      <c r="G394" s="2">
        <v>1035</v>
      </c>
      <c r="H394" s="2">
        <v>14490</v>
      </c>
      <c r="I394" t="s">
        <v>15</v>
      </c>
      <c r="J394" t="s">
        <v>16</v>
      </c>
      <c r="K394" t="str">
        <f>TEXT(Sales_Data[[#This Row],[Order Date]],"yyyy")</f>
        <v>2026</v>
      </c>
      <c r="L394" t="str">
        <f>TEXT(Sales_Data[[#This Row],[Order Date]],"mmmm")</f>
        <v>May</v>
      </c>
      <c r="M394" s="1">
        <v>46164</v>
      </c>
      <c r="N394" s="1">
        <v>35155</v>
      </c>
      <c r="O394">
        <f>DATEDIF(Sales_Data[[#This Row],[Date of Birth]],Sales_Data[[#This Row],[Order Date]],"y")</f>
        <v>30</v>
      </c>
      <c r="P394" t="str" cm="1">
        <f t="array" ref="P394">_xlfn.IFS(Sales_Data[[#This Row],[Age ]]&lt;=30,"Young Adult",Sales_Data[[#This Row],[Age ]]&lt;=45,"Senior",Sales_Data[[#This Row],[Age ]]&lt;=60,"Adult",Sales_Data[[#This Row],[Age ]]&gt;=61,"Elderly")</f>
        <v>Young Adult</v>
      </c>
    </row>
    <row r="395" spans="1:16" x14ac:dyDescent="0.3">
      <c r="A395" t="s">
        <v>444</v>
      </c>
      <c r="B395" t="s">
        <v>29</v>
      </c>
      <c r="C395" t="s">
        <v>12</v>
      </c>
      <c r="D395" t="s">
        <v>66</v>
      </c>
      <c r="E395" t="s">
        <v>92</v>
      </c>
      <c r="F395">
        <v>42</v>
      </c>
      <c r="G395" s="2">
        <v>40</v>
      </c>
      <c r="H395" s="2">
        <v>1680</v>
      </c>
      <c r="I395" t="s">
        <v>22</v>
      </c>
      <c r="J395" t="s">
        <v>23</v>
      </c>
      <c r="K395" t="str">
        <f>TEXT(Sales_Data[[#This Row],[Order Date]],"yyyy")</f>
        <v>2026</v>
      </c>
      <c r="L395" t="str">
        <f>TEXT(Sales_Data[[#This Row],[Order Date]],"mmmm")</f>
        <v>October</v>
      </c>
      <c r="M395" s="1">
        <v>46305</v>
      </c>
      <c r="N395" s="1">
        <v>35711</v>
      </c>
      <c r="O395">
        <f>DATEDIF(Sales_Data[[#This Row],[Date of Birth]],Sales_Data[[#This Row],[Order Date]],"y")</f>
        <v>29</v>
      </c>
      <c r="P395" t="str" cm="1">
        <f t="array" ref="P395">_xlfn.IFS(Sales_Data[[#This Row],[Age ]]&lt;=30,"Young Adult",Sales_Data[[#This Row],[Age ]]&lt;=45,"Senior",Sales_Data[[#This Row],[Age ]]&lt;=60,"Adult",Sales_Data[[#This Row],[Age ]]&gt;=61,"Elderly")</f>
        <v>Young Adult</v>
      </c>
    </row>
    <row r="396" spans="1:16" x14ac:dyDescent="0.3">
      <c r="A396" t="s">
        <v>445</v>
      </c>
      <c r="B396" t="s">
        <v>29</v>
      </c>
      <c r="C396" t="s">
        <v>19</v>
      </c>
      <c r="D396" t="s">
        <v>66</v>
      </c>
      <c r="E396" t="s">
        <v>77</v>
      </c>
      <c r="F396">
        <v>41</v>
      </c>
      <c r="G396" s="2">
        <v>22</v>
      </c>
      <c r="H396" s="2">
        <v>902</v>
      </c>
      <c r="I396" t="s">
        <v>15</v>
      </c>
      <c r="J396" t="s">
        <v>16</v>
      </c>
      <c r="K396" t="str">
        <f>TEXT(Sales_Data[[#This Row],[Order Date]],"yyyy")</f>
        <v>2026</v>
      </c>
      <c r="L396" t="str">
        <f>TEXT(Sales_Data[[#This Row],[Order Date]],"mmmm")</f>
        <v>May</v>
      </c>
      <c r="M396" s="1">
        <v>46151</v>
      </c>
      <c r="N396" s="1">
        <v>36577</v>
      </c>
      <c r="O396">
        <f>DATEDIF(Sales_Data[[#This Row],[Date of Birth]],Sales_Data[[#This Row],[Order Date]],"y")</f>
        <v>26</v>
      </c>
      <c r="P396" t="str" cm="1">
        <f t="array" ref="P396">_xlfn.IFS(Sales_Data[[#This Row],[Age ]]&lt;=30,"Young Adult",Sales_Data[[#This Row],[Age ]]&lt;=45,"Senior",Sales_Data[[#This Row],[Age ]]&lt;=60,"Adult",Sales_Data[[#This Row],[Age ]]&gt;=61,"Elderly")</f>
        <v>Young Adult</v>
      </c>
    </row>
    <row r="397" spans="1:16" x14ac:dyDescent="0.3">
      <c r="A397" t="s">
        <v>446</v>
      </c>
      <c r="B397" t="s">
        <v>11</v>
      </c>
      <c r="C397" t="s">
        <v>69</v>
      </c>
      <c r="D397" t="s">
        <v>30</v>
      </c>
      <c r="E397" t="s">
        <v>57</v>
      </c>
      <c r="F397">
        <v>39</v>
      </c>
      <c r="G397" s="2">
        <v>463</v>
      </c>
      <c r="H397" s="2">
        <v>18057</v>
      </c>
      <c r="I397" t="s">
        <v>22</v>
      </c>
      <c r="J397" t="s">
        <v>34</v>
      </c>
      <c r="K397" t="str">
        <f>TEXT(Sales_Data[[#This Row],[Order Date]],"yyyy")</f>
        <v>2026</v>
      </c>
      <c r="L397" t="str">
        <f>TEXT(Sales_Data[[#This Row],[Order Date]],"mmmm")</f>
        <v>November</v>
      </c>
      <c r="M397" s="1">
        <v>46337</v>
      </c>
      <c r="N397" s="1">
        <v>32848</v>
      </c>
      <c r="O397">
        <f>DATEDIF(Sales_Data[[#This Row],[Date of Birth]],Sales_Data[[#This Row],[Order Date]],"y")</f>
        <v>36</v>
      </c>
      <c r="P397" t="str" cm="1">
        <f t="array" ref="P397">_xlfn.IFS(Sales_Data[[#This Row],[Age ]]&lt;=30,"Young Adult",Sales_Data[[#This Row],[Age ]]&lt;=45,"Senior",Sales_Data[[#This Row],[Age ]]&lt;=60,"Adult",Sales_Data[[#This Row],[Age ]]&gt;=61,"Elderly")</f>
        <v>Senior</v>
      </c>
    </row>
    <row r="398" spans="1:16" x14ac:dyDescent="0.3">
      <c r="A398" t="s">
        <v>447</v>
      </c>
      <c r="B398" t="s">
        <v>11</v>
      </c>
      <c r="C398" t="s">
        <v>26</v>
      </c>
      <c r="D398" t="s">
        <v>66</v>
      </c>
      <c r="E398" t="s">
        <v>70</v>
      </c>
      <c r="F398">
        <v>26</v>
      </c>
      <c r="G398" s="2">
        <v>26</v>
      </c>
      <c r="H398" s="2">
        <v>676</v>
      </c>
      <c r="I398" t="s">
        <v>15</v>
      </c>
      <c r="J398" t="s">
        <v>16</v>
      </c>
      <c r="K398" t="str">
        <f>TEXT(Sales_Data[[#This Row],[Order Date]],"yyyy")</f>
        <v>2026</v>
      </c>
      <c r="L398" t="str">
        <f>TEXT(Sales_Data[[#This Row],[Order Date]],"mmmm")</f>
        <v>December</v>
      </c>
      <c r="M398" s="1">
        <v>46358</v>
      </c>
      <c r="N398" s="1">
        <v>34587</v>
      </c>
      <c r="O398">
        <f>DATEDIF(Sales_Data[[#This Row],[Date of Birth]],Sales_Data[[#This Row],[Order Date]],"y")</f>
        <v>32</v>
      </c>
      <c r="P398" t="str" cm="1">
        <f t="array" ref="P398">_xlfn.IFS(Sales_Data[[#This Row],[Age ]]&lt;=30,"Young Adult",Sales_Data[[#This Row],[Age ]]&lt;=45,"Senior",Sales_Data[[#This Row],[Age ]]&lt;=60,"Adult",Sales_Data[[#This Row],[Age ]]&gt;=61,"Elderly")</f>
        <v>Senior</v>
      </c>
    </row>
    <row r="399" spans="1:16" x14ac:dyDescent="0.3">
      <c r="A399" t="s">
        <v>448</v>
      </c>
      <c r="B399" t="s">
        <v>11</v>
      </c>
      <c r="C399" t="s">
        <v>46</v>
      </c>
      <c r="D399" t="s">
        <v>20</v>
      </c>
      <c r="E399" t="s">
        <v>36</v>
      </c>
      <c r="F399">
        <v>33</v>
      </c>
      <c r="G399" s="2">
        <v>694</v>
      </c>
      <c r="H399" s="2">
        <v>22902</v>
      </c>
      <c r="I399" t="s">
        <v>15</v>
      </c>
      <c r="J399" t="s">
        <v>34</v>
      </c>
      <c r="K399" t="str">
        <f>TEXT(Sales_Data[[#This Row],[Order Date]],"yyyy")</f>
        <v>2026</v>
      </c>
      <c r="L399" t="str">
        <f>TEXT(Sales_Data[[#This Row],[Order Date]],"mmmm")</f>
        <v>March</v>
      </c>
      <c r="M399" s="1">
        <v>46108</v>
      </c>
      <c r="N399" s="1">
        <v>35513</v>
      </c>
      <c r="O399">
        <f>DATEDIF(Sales_Data[[#This Row],[Date of Birth]],Sales_Data[[#This Row],[Order Date]],"y")</f>
        <v>29</v>
      </c>
      <c r="P399" t="str" cm="1">
        <f t="array" ref="P399">_xlfn.IFS(Sales_Data[[#This Row],[Age ]]&lt;=30,"Young Adult",Sales_Data[[#This Row],[Age ]]&lt;=45,"Senior",Sales_Data[[#This Row],[Age ]]&lt;=60,"Adult",Sales_Data[[#This Row],[Age ]]&gt;=61,"Elderly")</f>
        <v>Young Adult</v>
      </c>
    </row>
    <row r="400" spans="1:16" x14ac:dyDescent="0.3">
      <c r="A400" t="s">
        <v>449</v>
      </c>
      <c r="B400" t="s">
        <v>29</v>
      </c>
      <c r="C400" t="s">
        <v>12</v>
      </c>
      <c r="D400" t="s">
        <v>30</v>
      </c>
      <c r="E400" t="s">
        <v>31</v>
      </c>
      <c r="F400">
        <v>47</v>
      </c>
      <c r="G400" s="2">
        <v>622</v>
      </c>
      <c r="H400" s="2">
        <v>29234</v>
      </c>
      <c r="I400" t="s">
        <v>15</v>
      </c>
      <c r="J400" t="s">
        <v>34</v>
      </c>
      <c r="K400" t="str">
        <f>TEXT(Sales_Data[[#This Row],[Order Date]],"yyyy")</f>
        <v>2026</v>
      </c>
      <c r="L400" t="str">
        <f>TEXT(Sales_Data[[#This Row],[Order Date]],"mmmm")</f>
        <v>March</v>
      </c>
      <c r="M400" s="1">
        <v>46103</v>
      </c>
      <c r="N400" s="1">
        <v>31716</v>
      </c>
      <c r="O400">
        <f>DATEDIF(Sales_Data[[#This Row],[Date of Birth]],Sales_Data[[#This Row],[Order Date]],"y")</f>
        <v>39</v>
      </c>
      <c r="P400" t="str" cm="1">
        <f t="array" ref="P400">_xlfn.IFS(Sales_Data[[#This Row],[Age ]]&lt;=30,"Young Adult",Sales_Data[[#This Row],[Age ]]&lt;=45,"Senior",Sales_Data[[#This Row],[Age ]]&lt;=60,"Adult",Sales_Data[[#This Row],[Age ]]&gt;=61,"Elderly")</f>
        <v>Senior</v>
      </c>
    </row>
    <row r="401" spans="1:16" x14ac:dyDescent="0.3">
      <c r="A401" t="s">
        <v>450</v>
      </c>
      <c r="B401" t="s">
        <v>29</v>
      </c>
      <c r="C401" t="s">
        <v>55</v>
      </c>
      <c r="D401" t="s">
        <v>30</v>
      </c>
      <c r="E401" t="s">
        <v>31</v>
      </c>
      <c r="F401">
        <v>27</v>
      </c>
      <c r="G401" s="2">
        <v>389</v>
      </c>
      <c r="H401" s="2">
        <v>10503</v>
      </c>
      <c r="I401" t="s">
        <v>15</v>
      </c>
      <c r="J401" t="s">
        <v>34</v>
      </c>
      <c r="K401" t="str">
        <f>TEXT(Sales_Data[[#This Row],[Order Date]],"yyyy")</f>
        <v>2026</v>
      </c>
      <c r="L401" t="str">
        <f>TEXT(Sales_Data[[#This Row],[Order Date]],"mmmm")</f>
        <v>June</v>
      </c>
      <c r="M401" s="1">
        <v>46182</v>
      </c>
      <c r="N401" s="1">
        <v>26279</v>
      </c>
      <c r="O401">
        <f>DATEDIF(Sales_Data[[#This Row],[Date of Birth]],Sales_Data[[#This Row],[Order Date]],"y")</f>
        <v>54</v>
      </c>
      <c r="P401" t="str" cm="1">
        <f t="array" ref="P401">_xlfn.IFS(Sales_Data[[#This Row],[Age ]]&lt;=30,"Young Adult",Sales_Data[[#This Row],[Age ]]&lt;=45,"Senior",Sales_Data[[#This Row],[Age ]]&lt;=60,"Adult",Sales_Data[[#This Row],[Age ]]&gt;=61,"Elderly")</f>
        <v>Adult</v>
      </c>
    </row>
    <row r="402" spans="1:16" x14ac:dyDescent="0.3">
      <c r="A402" t="s">
        <v>451</v>
      </c>
      <c r="B402" t="s">
        <v>18</v>
      </c>
      <c r="C402" t="s">
        <v>42</v>
      </c>
      <c r="D402" t="s">
        <v>13</v>
      </c>
      <c r="E402" t="s">
        <v>49</v>
      </c>
      <c r="F402">
        <v>38</v>
      </c>
      <c r="G402" s="2">
        <v>245</v>
      </c>
      <c r="H402" s="2">
        <v>9310</v>
      </c>
      <c r="I402" t="s">
        <v>22</v>
      </c>
      <c r="J402" t="s">
        <v>34</v>
      </c>
      <c r="K402" t="str">
        <f>TEXT(Sales_Data[[#This Row],[Order Date]],"yyyy")</f>
        <v>2026</v>
      </c>
      <c r="L402" t="str">
        <f>TEXT(Sales_Data[[#This Row],[Order Date]],"mmmm")</f>
        <v>August</v>
      </c>
      <c r="M402" s="1">
        <v>46241</v>
      </c>
      <c r="N402" s="1">
        <v>26854</v>
      </c>
      <c r="O402">
        <f>DATEDIF(Sales_Data[[#This Row],[Date of Birth]],Sales_Data[[#This Row],[Order Date]],"y")</f>
        <v>53</v>
      </c>
      <c r="P402" t="str" cm="1">
        <f t="array" ref="P402">_xlfn.IFS(Sales_Data[[#This Row],[Age ]]&lt;=30,"Young Adult",Sales_Data[[#This Row],[Age ]]&lt;=45,"Senior",Sales_Data[[#This Row],[Age ]]&lt;=60,"Adult",Sales_Data[[#This Row],[Age ]]&gt;=61,"Elderly")</f>
        <v>Adult</v>
      </c>
    </row>
    <row r="403" spans="1:16" x14ac:dyDescent="0.3">
      <c r="A403" t="s">
        <v>452</v>
      </c>
      <c r="B403" t="s">
        <v>25</v>
      </c>
      <c r="C403" t="s">
        <v>65</v>
      </c>
      <c r="D403" t="s">
        <v>13</v>
      </c>
      <c r="E403" t="s">
        <v>59</v>
      </c>
      <c r="F403">
        <v>9</v>
      </c>
      <c r="G403" s="2">
        <v>510</v>
      </c>
      <c r="H403" s="2">
        <v>4590</v>
      </c>
      <c r="I403" t="s">
        <v>22</v>
      </c>
      <c r="J403" t="s">
        <v>16</v>
      </c>
      <c r="K403" t="str">
        <f>TEXT(Sales_Data[[#This Row],[Order Date]],"yyyy")</f>
        <v>2026</v>
      </c>
      <c r="L403" t="str">
        <f>TEXT(Sales_Data[[#This Row],[Order Date]],"mmmm")</f>
        <v>June</v>
      </c>
      <c r="M403" s="1">
        <v>46187</v>
      </c>
      <c r="N403" s="1">
        <v>28604</v>
      </c>
      <c r="O403">
        <f>DATEDIF(Sales_Data[[#This Row],[Date of Birth]],Sales_Data[[#This Row],[Order Date]],"y")</f>
        <v>48</v>
      </c>
      <c r="P403" t="str" cm="1">
        <f t="array" ref="P403">_xlfn.IFS(Sales_Data[[#This Row],[Age ]]&lt;=30,"Young Adult",Sales_Data[[#This Row],[Age ]]&lt;=45,"Senior",Sales_Data[[#This Row],[Age ]]&lt;=60,"Adult",Sales_Data[[#This Row],[Age ]]&gt;=61,"Elderly")</f>
        <v>Adult</v>
      </c>
    </row>
    <row r="404" spans="1:16" x14ac:dyDescent="0.3">
      <c r="A404" t="s">
        <v>453</v>
      </c>
      <c r="B404" t="s">
        <v>29</v>
      </c>
      <c r="C404" t="s">
        <v>69</v>
      </c>
      <c r="D404" t="s">
        <v>30</v>
      </c>
      <c r="E404" t="s">
        <v>57</v>
      </c>
      <c r="F404">
        <v>32</v>
      </c>
      <c r="G404" s="2">
        <v>390</v>
      </c>
      <c r="H404" s="2">
        <v>12480</v>
      </c>
      <c r="I404" t="s">
        <v>15</v>
      </c>
      <c r="J404" t="s">
        <v>34</v>
      </c>
      <c r="K404" t="str">
        <f>TEXT(Sales_Data[[#This Row],[Order Date]],"yyyy")</f>
        <v>2026</v>
      </c>
      <c r="L404" t="str">
        <f>TEXT(Sales_Data[[#This Row],[Order Date]],"mmmm")</f>
        <v>November</v>
      </c>
      <c r="M404" s="1">
        <v>46332</v>
      </c>
      <c r="N404" s="1">
        <v>27309</v>
      </c>
      <c r="O404">
        <f>DATEDIF(Sales_Data[[#This Row],[Date of Birth]],Sales_Data[[#This Row],[Order Date]],"y")</f>
        <v>52</v>
      </c>
      <c r="P404" t="str" cm="1">
        <f t="array" ref="P404">_xlfn.IFS(Sales_Data[[#This Row],[Age ]]&lt;=30,"Young Adult",Sales_Data[[#This Row],[Age ]]&lt;=45,"Senior",Sales_Data[[#This Row],[Age ]]&lt;=60,"Adult",Sales_Data[[#This Row],[Age ]]&gt;=61,"Elderly")</f>
        <v>Adult</v>
      </c>
    </row>
    <row r="405" spans="1:16" x14ac:dyDescent="0.3">
      <c r="A405" t="s">
        <v>454</v>
      </c>
      <c r="B405" t="s">
        <v>11</v>
      </c>
      <c r="C405" t="s">
        <v>55</v>
      </c>
      <c r="D405" t="s">
        <v>66</v>
      </c>
      <c r="E405" t="s">
        <v>83</v>
      </c>
      <c r="F405">
        <v>49</v>
      </c>
      <c r="G405" s="2">
        <v>12</v>
      </c>
      <c r="H405" s="2">
        <v>588</v>
      </c>
      <c r="I405" t="s">
        <v>15</v>
      </c>
      <c r="J405" t="s">
        <v>23</v>
      </c>
      <c r="K405" t="str">
        <f>TEXT(Sales_Data[[#This Row],[Order Date]],"yyyy")</f>
        <v>2026</v>
      </c>
      <c r="L405" t="str">
        <f>TEXT(Sales_Data[[#This Row],[Order Date]],"mmmm")</f>
        <v>October</v>
      </c>
      <c r="M405" s="1">
        <v>46320</v>
      </c>
      <c r="N405" s="1">
        <v>24701</v>
      </c>
      <c r="O405">
        <f>DATEDIF(Sales_Data[[#This Row],[Date of Birth]],Sales_Data[[#This Row],[Order Date]],"y")</f>
        <v>59</v>
      </c>
      <c r="P405" t="str" cm="1">
        <f t="array" ref="P405">_xlfn.IFS(Sales_Data[[#This Row],[Age ]]&lt;=30,"Young Adult",Sales_Data[[#This Row],[Age ]]&lt;=45,"Senior",Sales_Data[[#This Row],[Age ]]&lt;=60,"Adult",Sales_Data[[#This Row],[Age ]]&gt;=61,"Elderly")</f>
        <v>Adult</v>
      </c>
    </row>
    <row r="406" spans="1:16" x14ac:dyDescent="0.3">
      <c r="A406" t="s">
        <v>455</v>
      </c>
      <c r="B406" t="s">
        <v>18</v>
      </c>
      <c r="C406" t="s">
        <v>69</v>
      </c>
      <c r="D406" t="s">
        <v>20</v>
      </c>
      <c r="E406" t="s">
        <v>104</v>
      </c>
      <c r="F406">
        <v>26</v>
      </c>
      <c r="G406" s="2">
        <v>958</v>
      </c>
      <c r="H406" s="2">
        <v>24908</v>
      </c>
      <c r="I406" t="s">
        <v>15</v>
      </c>
      <c r="J406" t="s">
        <v>16</v>
      </c>
      <c r="K406" t="str">
        <f>TEXT(Sales_Data[[#This Row],[Order Date]],"yyyy")</f>
        <v>2026</v>
      </c>
      <c r="L406" t="str">
        <f>TEXT(Sales_Data[[#This Row],[Order Date]],"mmmm")</f>
        <v>August</v>
      </c>
      <c r="M406" s="1">
        <v>46247</v>
      </c>
      <c r="N406" s="1">
        <v>33232</v>
      </c>
      <c r="O406">
        <f>DATEDIF(Sales_Data[[#This Row],[Date of Birth]],Sales_Data[[#This Row],[Order Date]],"y")</f>
        <v>35</v>
      </c>
      <c r="P406" t="str" cm="1">
        <f t="array" ref="P406">_xlfn.IFS(Sales_Data[[#This Row],[Age ]]&lt;=30,"Young Adult",Sales_Data[[#This Row],[Age ]]&lt;=45,"Senior",Sales_Data[[#This Row],[Age ]]&lt;=60,"Adult",Sales_Data[[#This Row],[Age ]]&gt;=61,"Elderly")</f>
        <v>Senior</v>
      </c>
    </row>
    <row r="407" spans="1:16" x14ac:dyDescent="0.3">
      <c r="A407" t="s">
        <v>456</v>
      </c>
      <c r="B407" t="s">
        <v>18</v>
      </c>
      <c r="C407" t="s">
        <v>69</v>
      </c>
      <c r="D407" t="s">
        <v>66</v>
      </c>
      <c r="E407" t="s">
        <v>67</v>
      </c>
      <c r="F407">
        <v>21</v>
      </c>
      <c r="G407" s="2">
        <v>50</v>
      </c>
      <c r="H407" s="2">
        <v>1050</v>
      </c>
      <c r="I407" t="s">
        <v>15</v>
      </c>
      <c r="J407" t="s">
        <v>23</v>
      </c>
      <c r="K407" t="str">
        <f>TEXT(Sales_Data[[#This Row],[Order Date]],"yyyy")</f>
        <v>2026</v>
      </c>
      <c r="L407" t="str">
        <f>TEXT(Sales_Data[[#This Row],[Order Date]],"mmmm")</f>
        <v>September</v>
      </c>
      <c r="M407" s="1">
        <v>46272</v>
      </c>
      <c r="N407" s="1">
        <v>35797</v>
      </c>
      <c r="O407">
        <f>DATEDIF(Sales_Data[[#This Row],[Date of Birth]],Sales_Data[[#This Row],[Order Date]],"y")</f>
        <v>28</v>
      </c>
      <c r="P407" t="str" cm="1">
        <f t="array" ref="P407">_xlfn.IFS(Sales_Data[[#This Row],[Age ]]&lt;=30,"Young Adult",Sales_Data[[#This Row],[Age ]]&lt;=45,"Senior",Sales_Data[[#This Row],[Age ]]&lt;=60,"Adult",Sales_Data[[#This Row],[Age ]]&gt;=61,"Elderly")</f>
        <v>Young Adult</v>
      </c>
    </row>
    <row r="408" spans="1:16" x14ac:dyDescent="0.3">
      <c r="A408" t="s">
        <v>457</v>
      </c>
      <c r="B408" t="s">
        <v>29</v>
      </c>
      <c r="C408" t="s">
        <v>65</v>
      </c>
      <c r="D408" t="s">
        <v>66</v>
      </c>
      <c r="E408" t="s">
        <v>77</v>
      </c>
      <c r="F408">
        <v>9</v>
      </c>
      <c r="G408" s="2">
        <v>8</v>
      </c>
      <c r="H408" s="2">
        <v>72</v>
      </c>
      <c r="I408" t="s">
        <v>15</v>
      </c>
      <c r="J408" t="s">
        <v>23</v>
      </c>
      <c r="K408" t="str">
        <f>TEXT(Sales_Data[[#This Row],[Order Date]],"yyyy")</f>
        <v>2026</v>
      </c>
      <c r="L408" t="str">
        <f>TEXT(Sales_Data[[#This Row],[Order Date]],"mmmm")</f>
        <v>July</v>
      </c>
      <c r="M408" s="1">
        <v>46220</v>
      </c>
      <c r="N408" s="1">
        <v>32626</v>
      </c>
      <c r="O408">
        <f>DATEDIF(Sales_Data[[#This Row],[Date of Birth]],Sales_Data[[#This Row],[Order Date]],"y")</f>
        <v>37</v>
      </c>
      <c r="P408" t="str" cm="1">
        <f t="array" ref="P408">_xlfn.IFS(Sales_Data[[#This Row],[Age ]]&lt;=30,"Young Adult",Sales_Data[[#This Row],[Age ]]&lt;=45,"Senior",Sales_Data[[#This Row],[Age ]]&lt;=60,"Adult",Sales_Data[[#This Row],[Age ]]&gt;=61,"Elderly")</f>
        <v>Senior</v>
      </c>
    </row>
    <row r="409" spans="1:16" x14ac:dyDescent="0.3">
      <c r="A409" t="s">
        <v>458</v>
      </c>
      <c r="B409" t="s">
        <v>29</v>
      </c>
      <c r="C409" t="s">
        <v>42</v>
      </c>
      <c r="D409" t="s">
        <v>66</v>
      </c>
      <c r="E409" t="s">
        <v>77</v>
      </c>
      <c r="F409">
        <v>30</v>
      </c>
      <c r="G409" s="2">
        <v>48</v>
      </c>
      <c r="H409" s="2">
        <v>1440</v>
      </c>
      <c r="I409" t="s">
        <v>15</v>
      </c>
      <c r="J409" t="s">
        <v>34</v>
      </c>
      <c r="K409" t="str">
        <f>TEXT(Sales_Data[[#This Row],[Order Date]],"yyyy")</f>
        <v>2026</v>
      </c>
      <c r="L409" t="str">
        <f>TEXT(Sales_Data[[#This Row],[Order Date]],"mmmm")</f>
        <v>September</v>
      </c>
      <c r="M409" s="1">
        <v>46285</v>
      </c>
      <c r="N409" s="1">
        <v>24741</v>
      </c>
      <c r="O409">
        <f>DATEDIF(Sales_Data[[#This Row],[Date of Birth]],Sales_Data[[#This Row],[Order Date]],"y")</f>
        <v>58</v>
      </c>
      <c r="P409" t="str" cm="1">
        <f t="array" ref="P409">_xlfn.IFS(Sales_Data[[#This Row],[Age ]]&lt;=30,"Young Adult",Sales_Data[[#This Row],[Age ]]&lt;=45,"Senior",Sales_Data[[#This Row],[Age ]]&lt;=60,"Adult",Sales_Data[[#This Row],[Age ]]&gt;=61,"Elderly")</f>
        <v>Adult</v>
      </c>
    </row>
    <row r="410" spans="1:16" x14ac:dyDescent="0.3">
      <c r="A410" t="s">
        <v>459</v>
      </c>
      <c r="B410" t="s">
        <v>25</v>
      </c>
      <c r="C410" t="s">
        <v>69</v>
      </c>
      <c r="D410" t="s">
        <v>20</v>
      </c>
      <c r="E410" t="s">
        <v>36</v>
      </c>
      <c r="F410">
        <v>49</v>
      </c>
      <c r="G410" s="2">
        <v>465</v>
      </c>
      <c r="H410" s="2">
        <v>22785</v>
      </c>
      <c r="I410" t="s">
        <v>15</v>
      </c>
      <c r="J410" t="s">
        <v>23</v>
      </c>
      <c r="K410" t="str">
        <f>TEXT(Sales_Data[[#This Row],[Order Date]],"yyyy")</f>
        <v>2026</v>
      </c>
      <c r="L410" t="str">
        <f>TEXT(Sales_Data[[#This Row],[Order Date]],"mmmm")</f>
        <v>March</v>
      </c>
      <c r="M410" s="1">
        <v>46107</v>
      </c>
      <c r="N410" s="1">
        <v>35997</v>
      </c>
      <c r="O410">
        <f>DATEDIF(Sales_Data[[#This Row],[Date of Birth]],Sales_Data[[#This Row],[Order Date]],"y")</f>
        <v>27</v>
      </c>
      <c r="P410" t="str" cm="1">
        <f t="array" ref="P410">_xlfn.IFS(Sales_Data[[#This Row],[Age ]]&lt;=30,"Young Adult",Sales_Data[[#This Row],[Age ]]&lt;=45,"Senior",Sales_Data[[#This Row],[Age ]]&lt;=60,"Adult",Sales_Data[[#This Row],[Age ]]&gt;=61,"Elderly")</f>
        <v>Young Adult</v>
      </c>
    </row>
    <row r="411" spans="1:16" x14ac:dyDescent="0.3">
      <c r="A411" t="s">
        <v>460</v>
      </c>
      <c r="B411" t="s">
        <v>11</v>
      </c>
      <c r="C411" t="s">
        <v>12</v>
      </c>
      <c r="D411" t="s">
        <v>30</v>
      </c>
      <c r="E411" t="s">
        <v>38</v>
      </c>
      <c r="F411">
        <v>47</v>
      </c>
      <c r="G411" s="2">
        <v>72</v>
      </c>
      <c r="H411" s="2">
        <v>3384</v>
      </c>
      <c r="I411" t="s">
        <v>22</v>
      </c>
      <c r="J411" t="s">
        <v>16</v>
      </c>
      <c r="K411" t="str">
        <f>TEXT(Sales_Data[[#This Row],[Order Date]],"yyyy")</f>
        <v>2026</v>
      </c>
      <c r="L411" t="str">
        <f>TEXT(Sales_Data[[#This Row],[Order Date]],"mmmm")</f>
        <v>October</v>
      </c>
      <c r="M411" s="1">
        <v>46312</v>
      </c>
      <c r="N411" s="1">
        <v>28881</v>
      </c>
      <c r="O411">
        <f>DATEDIF(Sales_Data[[#This Row],[Date of Birth]],Sales_Data[[#This Row],[Order Date]],"y")</f>
        <v>47</v>
      </c>
      <c r="P411" t="str" cm="1">
        <f t="array" ref="P411">_xlfn.IFS(Sales_Data[[#This Row],[Age ]]&lt;=30,"Young Adult",Sales_Data[[#This Row],[Age ]]&lt;=45,"Senior",Sales_Data[[#This Row],[Age ]]&lt;=60,"Adult",Sales_Data[[#This Row],[Age ]]&gt;=61,"Elderly")</f>
        <v>Adult</v>
      </c>
    </row>
    <row r="412" spans="1:16" x14ac:dyDescent="0.3">
      <c r="A412" t="s">
        <v>461</v>
      </c>
      <c r="B412" t="s">
        <v>18</v>
      </c>
      <c r="C412" t="s">
        <v>69</v>
      </c>
      <c r="D412" t="s">
        <v>13</v>
      </c>
      <c r="E412" t="s">
        <v>63</v>
      </c>
      <c r="F412">
        <v>41</v>
      </c>
      <c r="G412" s="2">
        <v>623</v>
      </c>
      <c r="H412" s="2">
        <v>25543</v>
      </c>
      <c r="I412" t="s">
        <v>15</v>
      </c>
      <c r="J412" t="s">
        <v>16</v>
      </c>
      <c r="K412" t="str">
        <f>TEXT(Sales_Data[[#This Row],[Order Date]],"yyyy")</f>
        <v>2026</v>
      </c>
      <c r="L412" t="str">
        <f>TEXT(Sales_Data[[#This Row],[Order Date]],"mmmm")</f>
        <v>September</v>
      </c>
      <c r="M412" s="1">
        <v>46285</v>
      </c>
      <c r="N412" s="1">
        <v>24679</v>
      </c>
      <c r="O412">
        <f>DATEDIF(Sales_Data[[#This Row],[Date of Birth]],Sales_Data[[#This Row],[Order Date]],"y")</f>
        <v>59</v>
      </c>
      <c r="P412" t="str" cm="1">
        <f t="array" ref="P412">_xlfn.IFS(Sales_Data[[#This Row],[Age ]]&lt;=30,"Young Adult",Sales_Data[[#This Row],[Age ]]&lt;=45,"Senior",Sales_Data[[#This Row],[Age ]]&lt;=60,"Adult",Sales_Data[[#This Row],[Age ]]&gt;=61,"Elderly")</f>
        <v>Adult</v>
      </c>
    </row>
    <row r="413" spans="1:16" x14ac:dyDescent="0.3">
      <c r="A413" t="s">
        <v>462</v>
      </c>
      <c r="B413" t="s">
        <v>25</v>
      </c>
      <c r="C413" t="s">
        <v>12</v>
      </c>
      <c r="D413" t="s">
        <v>13</v>
      </c>
      <c r="E413" t="s">
        <v>14</v>
      </c>
      <c r="F413">
        <v>45</v>
      </c>
      <c r="G413" s="2">
        <v>337</v>
      </c>
      <c r="H413" s="2">
        <v>15165</v>
      </c>
      <c r="I413" t="s">
        <v>22</v>
      </c>
      <c r="J413" t="s">
        <v>34</v>
      </c>
      <c r="K413" t="str">
        <f>TEXT(Sales_Data[[#This Row],[Order Date]],"yyyy")</f>
        <v>2026</v>
      </c>
      <c r="L413" t="str">
        <f>TEXT(Sales_Data[[#This Row],[Order Date]],"mmmm")</f>
        <v>July</v>
      </c>
      <c r="M413" s="1">
        <v>46218</v>
      </c>
      <c r="N413" s="1">
        <v>24564</v>
      </c>
      <c r="O413">
        <f>DATEDIF(Sales_Data[[#This Row],[Date of Birth]],Sales_Data[[#This Row],[Order Date]],"y")</f>
        <v>59</v>
      </c>
      <c r="P413" t="str" cm="1">
        <f t="array" ref="P413">_xlfn.IFS(Sales_Data[[#This Row],[Age ]]&lt;=30,"Young Adult",Sales_Data[[#This Row],[Age ]]&lt;=45,"Senior",Sales_Data[[#This Row],[Age ]]&lt;=60,"Adult",Sales_Data[[#This Row],[Age ]]&gt;=61,"Elderly")</f>
        <v>Adult</v>
      </c>
    </row>
    <row r="414" spans="1:16" x14ac:dyDescent="0.3">
      <c r="A414" t="s">
        <v>463</v>
      </c>
      <c r="B414" t="s">
        <v>29</v>
      </c>
      <c r="C414" t="s">
        <v>42</v>
      </c>
      <c r="D414" t="s">
        <v>30</v>
      </c>
      <c r="E414" t="s">
        <v>38</v>
      </c>
      <c r="F414">
        <v>45</v>
      </c>
      <c r="G414" s="2">
        <v>752</v>
      </c>
      <c r="H414" s="2">
        <v>33840</v>
      </c>
      <c r="I414" t="s">
        <v>15</v>
      </c>
      <c r="J414" t="s">
        <v>16</v>
      </c>
      <c r="K414" t="str">
        <f>TEXT(Sales_Data[[#This Row],[Order Date]],"yyyy")</f>
        <v>2026</v>
      </c>
      <c r="L414" t="str">
        <f>TEXT(Sales_Data[[#This Row],[Order Date]],"mmmm")</f>
        <v>November</v>
      </c>
      <c r="M414" s="1">
        <v>46327</v>
      </c>
      <c r="N414" s="1">
        <v>33314</v>
      </c>
      <c r="O414">
        <f>DATEDIF(Sales_Data[[#This Row],[Date of Birth]],Sales_Data[[#This Row],[Order Date]],"y")</f>
        <v>35</v>
      </c>
      <c r="P414" t="str" cm="1">
        <f t="array" ref="P414">_xlfn.IFS(Sales_Data[[#This Row],[Age ]]&lt;=30,"Young Adult",Sales_Data[[#This Row],[Age ]]&lt;=45,"Senior",Sales_Data[[#This Row],[Age ]]&lt;=60,"Adult",Sales_Data[[#This Row],[Age ]]&gt;=61,"Elderly")</f>
        <v>Senior</v>
      </c>
    </row>
    <row r="415" spans="1:16" x14ac:dyDescent="0.3">
      <c r="A415" t="s">
        <v>464</v>
      </c>
      <c r="B415" t="s">
        <v>18</v>
      </c>
      <c r="C415" t="s">
        <v>12</v>
      </c>
      <c r="D415" t="s">
        <v>66</v>
      </c>
      <c r="E415" t="s">
        <v>92</v>
      </c>
      <c r="F415">
        <v>39</v>
      </c>
      <c r="G415" s="2">
        <v>46</v>
      </c>
      <c r="H415" s="2">
        <v>1794</v>
      </c>
      <c r="I415" t="s">
        <v>22</v>
      </c>
      <c r="J415" t="s">
        <v>23</v>
      </c>
      <c r="K415" t="str">
        <f>TEXT(Sales_Data[[#This Row],[Order Date]],"yyyy")</f>
        <v>2026</v>
      </c>
      <c r="L415" t="str">
        <f>TEXT(Sales_Data[[#This Row],[Order Date]],"mmmm")</f>
        <v>March</v>
      </c>
      <c r="M415" s="1">
        <v>46095</v>
      </c>
      <c r="N415" s="1">
        <v>31554</v>
      </c>
      <c r="O415">
        <f>DATEDIF(Sales_Data[[#This Row],[Date of Birth]],Sales_Data[[#This Row],[Order Date]],"y")</f>
        <v>39</v>
      </c>
      <c r="P415" t="str" cm="1">
        <f t="array" ref="P415">_xlfn.IFS(Sales_Data[[#This Row],[Age ]]&lt;=30,"Young Adult",Sales_Data[[#This Row],[Age ]]&lt;=45,"Senior",Sales_Data[[#This Row],[Age ]]&lt;=60,"Adult",Sales_Data[[#This Row],[Age ]]&gt;=61,"Elderly")</f>
        <v>Senior</v>
      </c>
    </row>
    <row r="416" spans="1:16" x14ac:dyDescent="0.3">
      <c r="A416" t="s">
        <v>465</v>
      </c>
      <c r="B416" t="s">
        <v>11</v>
      </c>
      <c r="C416" t="s">
        <v>26</v>
      </c>
      <c r="D416" t="s">
        <v>13</v>
      </c>
      <c r="E416" t="s">
        <v>63</v>
      </c>
      <c r="F416">
        <v>13</v>
      </c>
      <c r="G416" s="2">
        <v>509</v>
      </c>
      <c r="H416" s="2">
        <v>6617</v>
      </c>
      <c r="I416" t="s">
        <v>22</v>
      </c>
      <c r="J416" t="s">
        <v>34</v>
      </c>
      <c r="K416" t="str">
        <f>TEXT(Sales_Data[[#This Row],[Order Date]],"yyyy")</f>
        <v>2026</v>
      </c>
      <c r="L416" t="str">
        <f>TEXT(Sales_Data[[#This Row],[Order Date]],"mmmm")</f>
        <v>May</v>
      </c>
      <c r="M416" s="1">
        <v>46169</v>
      </c>
      <c r="N416" s="1">
        <v>31981</v>
      </c>
      <c r="O416">
        <f>DATEDIF(Sales_Data[[#This Row],[Date of Birth]],Sales_Data[[#This Row],[Order Date]],"y")</f>
        <v>38</v>
      </c>
      <c r="P416" t="str" cm="1">
        <f t="array" ref="P416">_xlfn.IFS(Sales_Data[[#This Row],[Age ]]&lt;=30,"Young Adult",Sales_Data[[#This Row],[Age ]]&lt;=45,"Senior",Sales_Data[[#This Row],[Age ]]&lt;=60,"Adult",Sales_Data[[#This Row],[Age ]]&gt;=61,"Elderly")</f>
        <v>Senior</v>
      </c>
    </row>
    <row r="417" spans="1:16" x14ac:dyDescent="0.3">
      <c r="A417" t="s">
        <v>466</v>
      </c>
      <c r="B417" t="s">
        <v>25</v>
      </c>
      <c r="C417" t="s">
        <v>26</v>
      </c>
      <c r="D417" t="s">
        <v>30</v>
      </c>
      <c r="E417" t="s">
        <v>57</v>
      </c>
      <c r="F417">
        <v>36</v>
      </c>
      <c r="G417" s="2">
        <v>558</v>
      </c>
      <c r="H417" s="2">
        <v>20088</v>
      </c>
      <c r="I417" t="s">
        <v>15</v>
      </c>
      <c r="J417" t="s">
        <v>23</v>
      </c>
      <c r="K417" t="str">
        <f>TEXT(Sales_Data[[#This Row],[Order Date]],"yyyy")</f>
        <v>2026</v>
      </c>
      <c r="L417" t="str">
        <f>TEXT(Sales_Data[[#This Row],[Order Date]],"mmmm")</f>
        <v>April</v>
      </c>
      <c r="M417" s="1">
        <v>46135</v>
      </c>
      <c r="N417" s="1">
        <v>37713</v>
      </c>
      <c r="O417">
        <f>DATEDIF(Sales_Data[[#This Row],[Date of Birth]],Sales_Data[[#This Row],[Order Date]],"y")</f>
        <v>23</v>
      </c>
      <c r="P417" t="str" cm="1">
        <f t="array" ref="P417">_xlfn.IFS(Sales_Data[[#This Row],[Age ]]&lt;=30,"Young Adult",Sales_Data[[#This Row],[Age ]]&lt;=45,"Senior",Sales_Data[[#This Row],[Age ]]&lt;=60,"Adult",Sales_Data[[#This Row],[Age ]]&gt;=61,"Elderly")</f>
        <v>Young Adult</v>
      </c>
    </row>
    <row r="418" spans="1:16" x14ac:dyDescent="0.3">
      <c r="A418" t="s">
        <v>467</v>
      </c>
      <c r="B418" t="s">
        <v>18</v>
      </c>
      <c r="C418" t="s">
        <v>12</v>
      </c>
      <c r="D418" t="s">
        <v>13</v>
      </c>
      <c r="E418" t="s">
        <v>14</v>
      </c>
      <c r="F418">
        <v>8</v>
      </c>
      <c r="G418" s="2">
        <v>1111</v>
      </c>
      <c r="H418" s="2">
        <v>8888</v>
      </c>
      <c r="I418" t="s">
        <v>22</v>
      </c>
      <c r="J418" t="s">
        <v>16</v>
      </c>
      <c r="K418" t="str">
        <f>TEXT(Sales_Data[[#This Row],[Order Date]],"yyyy")</f>
        <v>2026</v>
      </c>
      <c r="L418" t="str">
        <f>TEXT(Sales_Data[[#This Row],[Order Date]],"mmmm")</f>
        <v>March</v>
      </c>
      <c r="M418" s="1">
        <v>46084</v>
      </c>
      <c r="N418" s="1">
        <v>32444</v>
      </c>
      <c r="O418">
        <f>DATEDIF(Sales_Data[[#This Row],[Date of Birth]],Sales_Data[[#This Row],[Order Date]],"y")</f>
        <v>37</v>
      </c>
      <c r="P418" t="str" cm="1">
        <f t="array" ref="P418">_xlfn.IFS(Sales_Data[[#This Row],[Age ]]&lt;=30,"Young Adult",Sales_Data[[#This Row],[Age ]]&lt;=45,"Senior",Sales_Data[[#This Row],[Age ]]&lt;=60,"Adult",Sales_Data[[#This Row],[Age ]]&gt;=61,"Elderly")</f>
        <v>Senior</v>
      </c>
    </row>
    <row r="419" spans="1:16" x14ac:dyDescent="0.3">
      <c r="A419" t="s">
        <v>468</v>
      </c>
      <c r="B419" t="s">
        <v>18</v>
      </c>
      <c r="C419" t="s">
        <v>65</v>
      </c>
      <c r="D419" t="s">
        <v>30</v>
      </c>
      <c r="E419" t="s">
        <v>47</v>
      </c>
      <c r="F419">
        <v>19</v>
      </c>
      <c r="G419" s="2">
        <v>320</v>
      </c>
      <c r="H419" s="2">
        <v>6080</v>
      </c>
      <c r="I419" t="s">
        <v>15</v>
      </c>
      <c r="J419" t="s">
        <v>34</v>
      </c>
      <c r="K419" t="str">
        <f>TEXT(Sales_Data[[#This Row],[Order Date]],"yyyy")</f>
        <v>2026</v>
      </c>
      <c r="L419" t="str">
        <f>TEXT(Sales_Data[[#This Row],[Order Date]],"mmmm")</f>
        <v>August</v>
      </c>
      <c r="M419" s="1">
        <v>46236</v>
      </c>
      <c r="N419" s="1">
        <v>26322</v>
      </c>
      <c r="O419">
        <f>DATEDIF(Sales_Data[[#This Row],[Date of Birth]],Sales_Data[[#This Row],[Order Date]],"y")</f>
        <v>54</v>
      </c>
      <c r="P419" t="str" cm="1">
        <f t="array" ref="P419">_xlfn.IFS(Sales_Data[[#This Row],[Age ]]&lt;=30,"Young Adult",Sales_Data[[#This Row],[Age ]]&lt;=45,"Senior",Sales_Data[[#This Row],[Age ]]&lt;=60,"Adult",Sales_Data[[#This Row],[Age ]]&gt;=61,"Elderly")</f>
        <v>Adult</v>
      </c>
    </row>
    <row r="420" spans="1:16" x14ac:dyDescent="0.3">
      <c r="A420" t="s">
        <v>469</v>
      </c>
      <c r="B420" t="s">
        <v>18</v>
      </c>
      <c r="C420" t="s">
        <v>69</v>
      </c>
      <c r="D420" t="s">
        <v>66</v>
      </c>
      <c r="E420" t="s">
        <v>77</v>
      </c>
      <c r="F420">
        <v>28</v>
      </c>
      <c r="G420" s="2">
        <v>49</v>
      </c>
      <c r="H420" s="2">
        <v>1372</v>
      </c>
      <c r="I420" t="s">
        <v>15</v>
      </c>
      <c r="J420" t="s">
        <v>16</v>
      </c>
      <c r="K420" t="str">
        <f>TEXT(Sales_Data[[#This Row],[Order Date]],"yyyy")</f>
        <v>2026</v>
      </c>
      <c r="L420" t="str">
        <f>TEXT(Sales_Data[[#This Row],[Order Date]],"mmmm")</f>
        <v>February</v>
      </c>
      <c r="M420" s="1">
        <v>46057</v>
      </c>
      <c r="N420" s="1">
        <v>24674</v>
      </c>
      <c r="O420">
        <f>DATEDIF(Sales_Data[[#This Row],[Date of Birth]],Sales_Data[[#This Row],[Order Date]],"y")</f>
        <v>58</v>
      </c>
      <c r="P420" t="str" cm="1">
        <f t="array" ref="P420">_xlfn.IFS(Sales_Data[[#This Row],[Age ]]&lt;=30,"Young Adult",Sales_Data[[#This Row],[Age ]]&lt;=45,"Senior",Sales_Data[[#This Row],[Age ]]&lt;=60,"Adult",Sales_Data[[#This Row],[Age ]]&gt;=61,"Elderly")</f>
        <v>Adult</v>
      </c>
    </row>
    <row r="421" spans="1:16" x14ac:dyDescent="0.3">
      <c r="A421" t="s">
        <v>470</v>
      </c>
      <c r="B421" t="s">
        <v>18</v>
      </c>
      <c r="C421" t="s">
        <v>26</v>
      </c>
      <c r="D421" t="s">
        <v>30</v>
      </c>
      <c r="E421" t="s">
        <v>31</v>
      </c>
      <c r="F421">
        <v>23</v>
      </c>
      <c r="G421" s="2">
        <v>498</v>
      </c>
      <c r="H421" s="2">
        <v>11454</v>
      </c>
      <c r="I421" t="s">
        <v>22</v>
      </c>
      <c r="J421" t="s">
        <v>23</v>
      </c>
      <c r="K421" t="str">
        <f>TEXT(Sales_Data[[#This Row],[Order Date]],"yyyy")</f>
        <v>2026</v>
      </c>
      <c r="L421" t="str">
        <f>TEXT(Sales_Data[[#This Row],[Order Date]],"mmmm")</f>
        <v>October</v>
      </c>
      <c r="M421" s="1">
        <v>46304</v>
      </c>
      <c r="N421" s="1">
        <v>32063</v>
      </c>
      <c r="O421">
        <f>DATEDIF(Sales_Data[[#This Row],[Date of Birth]],Sales_Data[[#This Row],[Order Date]],"y")</f>
        <v>38</v>
      </c>
      <c r="P421" t="str" cm="1">
        <f t="array" ref="P421">_xlfn.IFS(Sales_Data[[#This Row],[Age ]]&lt;=30,"Young Adult",Sales_Data[[#This Row],[Age ]]&lt;=45,"Senior",Sales_Data[[#This Row],[Age ]]&lt;=60,"Adult",Sales_Data[[#This Row],[Age ]]&gt;=61,"Elderly")</f>
        <v>Senior</v>
      </c>
    </row>
    <row r="422" spans="1:16" x14ac:dyDescent="0.3">
      <c r="A422" t="s">
        <v>471</v>
      </c>
      <c r="B422" t="s">
        <v>25</v>
      </c>
      <c r="C422" t="s">
        <v>55</v>
      </c>
      <c r="D422" t="s">
        <v>13</v>
      </c>
      <c r="E422" t="s">
        <v>63</v>
      </c>
      <c r="F422">
        <v>26</v>
      </c>
      <c r="G422" s="2">
        <v>1034</v>
      </c>
      <c r="H422" s="2">
        <v>26884</v>
      </c>
      <c r="I422" t="s">
        <v>22</v>
      </c>
      <c r="J422" t="s">
        <v>16</v>
      </c>
      <c r="K422" t="str">
        <f>TEXT(Sales_Data[[#This Row],[Order Date]],"yyyy")</f>
        <v>2026</v>
      </c>
      <c r="L422" t="str">
        <f>TEXT(Sales_Data[[#This Row],[Order Date]],"mmmm")</f>
        <v>May</v>
      </c>
      <c r="M422" s="1">
        <v>46169</v>
      </c>
      <c r="N422" s="1">
        <v>25055</v>
      </c>
      <c r="O422">
        <f>DATEDIF(Sales_Data[[#This Row],[Date of Birth]],Sales_Data[[#This Row],[Order Date]],"y")</f>
        <v>57</v>
      </c>
      <c r="P422" t="str" cm="1">
        <f t="array" ref="P422">_xlfn.IFS(Sales_Data[[#This Row],[Age ]]&lt;=30,"Young Adult",Sales_Data[[#This Row],[Age ]]&lt;=45,"Senior",Sales_Data[[#This Row],[Age ]]&lt;=60,"Adult",Sales_Data[[#This Row],[Age ]]&gt;=61,"Elderly")</f>
        <v>Adult</v>
      </c>
    </row>
    <row r="423" spans="1:16" x14ac:dyDescent="0.3">
      <c r="A423" t="s">
        <v>472</v>
      </c>
      <c r="B423" t="s">
        <v>11</v>
      </c>
      <c r="C423" t="s">
        <v>12</v>
      </c>
      <c r="D423" t="s">
        <v>30</v>
      </c>
      <c r="E423" t="s">
        <v>57</v>
      </c>
      <c r="F423">
        <v>9</v>
      </c>
      <c r="G423" s="2">
        <v>762</v>
      </c>
      <c r="H423" s="2">
        <v>6858</v>
      </c>
      <c r="I423" t="s">
        <v>22</v>
      </c>
      <c r="J423" t="s">
        <v>16</v>
      </c>
      <c r="K423" t="str">
        <f>TEXT(Sales_Data[[#This Row],[Order Date]],"yyyy")</f>
        <v>2026</v>
      </c>
      <c r="L423" t="str">
        <f>TEXT(Sales_Data[[#This Row],[Order Date]],"mmmm")</f>
        <v>December</v>
      </c>
      <c r="M423" s="1">
        <v>46358</v>
      </c>
      <c r="N423" s="1">
        <v>37691</v>
      </c>
      <c r="O423">
        <f>DATEDIF(Sales_Data[[#This Row],[Date of Birth]],Sales_Data[[#This Row],[Order Date]],"y")</f>
        <v>23</v>
      </c>
      <c r="P423" t="str" cm="1">
        <f t="array" ref="P423">_xlfn.IFS(Sales_Data[[#This Row],[Age ]]&lt;=30,"Young Adult",Sales_Data[[#This Row],[Age ]]&lt;=45,"Senior",Sales_Data[[#This Row],[Age ]]&lt;=60,"Adult",Sales_Data[[#This Row],[Age ]]&gt;=61,"Elderly")</f>
        <v>Young Adult</v>
      </c>
    </row>
    <row r="424" spans="1:16" x14ac:dyDescent="0.3">
      <c r="A424" t="s">
        <v>473</v>
      </c>
      <c r="B424" t="s">
        <v>25</v>
      </c>
      <c r="C424" t="s">
        <v>26</v>
      </c>
      <c r="D424" t="s">
        <v>20</v>
      </c>
      <c r="E424" t="s">
        <v>27</v>
      </c>
      <c r="F424">
        <v>44</v>
      </c>
      <c r="G424" s="2">
        <v>977</v>
      </c>
      <c r="H424" s="2">
        <v>42988</v>
      </c>
      <c r="I424" t="s">
        <v>15</v>
      </c>
      <c r="J424" t="s">
        <v>16</v>
      </c>
      <c r="K424" t="str">
        <f>TEXT(Sales_Data[[#This Row],[Order Date]],"yyyy")</f>
        <v>2026</v>
      </c>
      <c r="L424" t="str">
        <f>TEXT(Sales_Data[[#This Row],[Order Date]],"mmmm")</f>
        <v>March</v>
      </c>
      <c r="M424" s="1">
        <v>46101</v>
      </c>
      <c r="N424" s="1">
        <v>26787</v>
      </c>
      <c r="O424">
        <f>DATEDIF(Sales_Data[[#This Row],[Date of Birth]],Sales_Data[[#This Row],[Order Date]],"y")</f>
        <v>52</v>
      </c>
      <c r="P424" t="str" cm="1">
        <f t="array" ref="P424">_xlfn.IFS(Sales_Data[[#This Row],[Age ]]&lt;=30,"Young Adult",Sales_Data[[#This Row],[Age ]]&lt;=45,"Senior",Sales_Data[[#This Row],[Age ]]&lt;=60,"Adult",Sales_Data[[#This Row],[Age ]]&gt;=61,"Elderly")</f>
        <v>Adult</v>
      </c>
    </row>
    <row r="425" spans="1:16" x14ac:dyDescent="0.3">
      <c r="A425" t="s">
        <v>474</v>
      </c>
      <c r="B425" t="s">
        <v>18</v>
      </c>
      <c r="C425" t="s">
        <v>12</v>
      </c>
      <c r="D425" t="s">
        <v>30</v>
      </c>
      <c r="E425" t="s">
        <v>47</v>
      </c>
      <c r="F425">
        <v>32</v>
      </c>
      <c r="G425" s="2">
        <v>165</v>
      </c>
      <c r="H425" s="2">
        <v>5280</v>
      </c>
      <c r="I425" t="s">
        <v>22</v>
      </c>
      <c r="J425" t="s">
        <v>16</v>
      </c>
      <c r="K425" t="str">
        <f>TEXT(Sales_Data[[#This Row],[Order Date]],"yyyy")</f>
        <v>2026</v>
      </c>
      <c r="L425" t="str">
        <f>TEXT(Sales_Data[[#This Row],[Order Date]],"mmmm")</f>
        <v>July</v>
      </c>
      <c r="M425" s="1">
        <v>46218</v>
      </c>
      <c r="N425" s="1">
        <v>24865</v>
      </c>
      <c r="O425">
        <f>DATEDIF(Sales_Data[[#This Row],[Date of Birth]],Sales_Data[[#This Row],[Order Date]],"y")</f>
        <v>58</v>
      </c>
      <c r="P425" t="str" cm="1">
        <f t="array" ref="P425">_xlfn.IFS(Sales_Data[[#This Row],[Age ]]&lt;=30,"Young Adult",Sales_Data[[#This Row],[Age ]]&lt;=45,"Senior",Sales_Data[[#This Row],[Age ]]&lt;=60,"Adult",Sales_Data[[#This Row],[Age ]]&gt;=61,"Elderly")</f>
        <v>Adult</v>
      </c>
    </row>
    <row r="426" spans="1:16" x14ac:dyDescent="0.3">
      <c r="A426" t="s">
        <v>475</v>
      </c>
      <c r="B426" t="s">
        <v>11</v>
      </c>
      <c r="C426" t="s">
        <v>26</v>
      </c>
      <c r="D426" t="s">
        <v>66</v>
      </c>
      <c r="E426" t="s">
        <v>67</v>
      </c>
      <c r="F426">
        <v>46</v>
      </c>
      <c r="G426" s="2">
        <v>45</v>
      </c>
      <c r="H426" s="2">
        <v>2070</v>
      </c>
      <c r="I426" t="s">
        <v>15</v>
      </c>
      <c r="J426" t="s">
        <v>34</v>
      </c>
      <c r="K426" t="str">
        <f>TEXT(Sales_Data[[#This Row],[Order Date]],"yyyy")</f>
        <v>2026</v>
      </c>
      <c r="L426" t="str">
        <f>TEXT(Sales_Data[[#This Row],[Order Date]],"mmmm")</f>
        <v>September</v>
      </c>
      <c r="M426" s="1">
        <v>46290</v>
      </c>
      <c r="N426" s="1">
        <v>33492</v>
      </c>
      <c r="O426">
        <f>DATEDIF(Sales_Data[[#This Row],[Date of Birth]],Sales_Data[[#This Row],[Order Date]],"y")</f>
        <v>35</v>
      </c>
      <c r="P426" t="str" cm="1">
        <f t="array" ref="P426">_xlfn.IFS(Sales_Data[[#This Row],[Age ]]&lt;=30,"Young Adult",Sales_Data[[#This Row],[Age ]]&lt;=45,"Senior",Sales_Data[[#This Row],[Age ]]&lt;=60,"Adult",Sales_Data[[#This Row],[Age ]]&gt;=61,"Elderly")</f>
        <v>Senior</v>
      </c>
    </row>
    <row r="427" spans="1:16" x14ac:dyDescent="0.3">
      <c r="A427" t="s">
        <v>476</v>
      </c>
      <c r="B427" t="s">
        <v>25</v>
      </c>
      <c r="C427" t="s">
        <v>65</v>
      </c>
      <c r="D427" t="s">
        <v>30</v>
      </c>
      <c r="E427" t="s">
        <v>47</v>
      </c>
      <c r="F427">
        <v>23</v>
      </c>
      <c r="G427" s="2">
        <v>729</v>
      </c>
      <c r="H427" s="2">
        <v>16767</v>
      </c>
      <c r="I427" t="s">
        <v>15</v>
      </c>
      <c r="J427" t="s">
        <v>23</v>
      </c>
      <c r="K427" t="str">
        <f>TEXT(Sales_Data[[#This Row],[Order Date]],"yyyy")</f>
        <v>2026</v>
      </c>
      <c r="L427" t="str">
        <f>TEXT(Sales_Data[[#This Row],[Order Date]],"mmmm")</f>
        <v>November</v>
      </c>
      <c r="M427" s="1">
        <v>46347</v>
      </c>
      <c r="N427" s="1">
        <v>24856</v>
      </c>
      <c r="O427">
        <f>DATEDIF(Sales_Data[[#This Row],[Date of Birth]],Sales_Data[[#This Row],[Order Date]],"y")</f>
        <v>58</v>
      </c>
      <c r="P427" t="str" cm="1">
        <f t="array" ref="P427">_xlfn.IFS(Sales_Data[[#This Row],[Age ]]&lt;=30,"Young Adult",Sales_Data[[#This Row],[Age ]]&lt;=45,"Senior",Sales_Data[[#This Row],[Age ]]&lt;=60,"Adult",Sales_Data[[#This Row],[Age ]]&gt;=61,"Elderly")</f>
        <v>Adult</v>
      </c>
    </row>
    <row r="428" spans="1:16" x14ac:dyDescent="0.3">
      <c r="A428" t="s">
        <v>477</v>
      </c>
      <c r="B428" t="s">
        <v>25</v>
      </c>
      <c r="C428" t="s">
        <v>26</v>
      </c>
      <c r="D428" t="s">
        <v>30</v>
      </c>
      <c r="E428" t="s">
        <v>61</v>
      </c>
      <c r="F428">
        <v>31</v>
      </c>
      <c r="G428" s="2">
        <v>557</v>
      </c>
      <c r="H428" s="2">
        <v>17267</v>
      </c>
      <c r="I428" t="s">
        <v>15</v>
      </c>
      <c r="J428" t="s">
        <v>34</v>
      </c>
      <c r="K428" t="str">
        <f>TEXT(Sales_Data[[#This Row],[Order Date]],"yyyy")</f>
        <v>2026</v>
      </c>
      <c r="L428" t="str">
        <f>TEXT(Sales_Data[[#This Row],[Order Date]],"mmmm")</f>
        <v>March</v>
      </c>
      <c r="M428" s="1">
        <v>46084</v>
      </c>
      <c r="N428" s="1">
        <v>34805</v>
      </c>
      <c r="O428">
        <f>DATEDIF(Sales_Data[[#This Row],[Date of Birth]],Sales_Data[[#This Row],[Order Date]],"y")</f>
        <v>30</v>
      </c>
      <c r="P428" t="str" cm="1">
        <f t="array" ref="P428">_xlfn.IFS(Sales_Data[[#This Row],[Age ]]&lt;=30,"Young Adult",Sales_Data[[#This Row],[Age ]]&lt;=45,"Senior",Sales_Data[[#This Row],[Age ]]&lt;=60,"Adult",Sales_Data[[#This Row],[Age ]]&gt;=61,"Elderly")</f>
        <v>Young Adult</v>
      </c>
    </row>
    <row r="429" spans="1:16" x14ac:dyDescent="0.3">
      <c r="A429" t="s">
        <v>478</v>
      </c>
      <c r="B429" t="s">
        <v>25</v>
      </c>
      <c r="C429" t="s">
        <v>42</v>
      </c>
      <c r="D429" t="s">
        <v>66</v>
      </c>
      <c r="E429" t="s">
        <v>67</v>
      </c>
      <c r="F429">
        <v>33</v>
      </c>
      <c r="G429" s="2">
        <v>16</v>
      </c>
      <c r="H429" s="2">
        <v>528</v>
      </c>
      <c r="I429" t="s">
        <v>15</v>
      </c>
      <c r="J429" t="s">
        <v>23</v>
      </c>
      <c r="K429" t="str">
        <f>TEXT(Sales_Data[[#This Row],[Order Date]],"yyyy")</f>
        <v>2026</v>
      </c>
      <c r="L429" t="str">
        <f>TEXT(Sales_Data[[#This Row],[Order Date]],"mmmm")</f>
        <v>September</v>
      </c>
      <c r="M429" s="1">
        <v>46286</v>
      </c>
      <c r="N429" s="1">
        <v>37863</v>
      </c>
      <c r="O429">
        <f>DATEDIF(Sales_Data[[#This Row],[Date of Birth]],Sales_Data[[#This Row],[Order Date]],"y")</f>
        <v>23</v>
      </c>
      <c r="P429" t="str" cm="1">
        <f t="array" ref="P429">_xlfn.IFS(Sales_Data[[#This Row],[Age ]]&lt;=30,"Young Adult",Sales_Data[[#This Row],[Age ]]&lt;=45,"Senior",Sales_Data[[#This Row],[Age ]]&lt;=60,"Adult",Sales_Data[[#This Row],[Age ]]&gt;=61,"Elderly")</f>
        <v>Young Adult</v>
      </c>
    </row>
    <row r="430" spans="1:16" x14ac:dyDescent="0.3">
      <c r="A430" t="s">
        <v>479</v>
      </c>
      <c r="B430" t="s">
        <v>25</v>
      </c>
      <c r="C430" t="s">
        <v>55</v>
      </c>
      <c r="D430" t="s">
        <v>20</v>
      </c>
      <c r="E430" t="s">
        <v>104</v>
      </c>
      <c r="F430">
        <v>37</v>
      </c>
      <c r="G430" s="2">
        <v>997</v>
      </c>
      <c r="H430" s="2">
        <v>36889</v>
      </c>
      <c r="I430" t="s">
        <v>22</v>
      </c>
      <c r="J430" t="s">
        <v>23</v>
      </c>
      <c r="K430" t="str">
        <f>TEXT(Sales_Data[[#This Row],[Order Date]],"yyyy")</f>
        <v>2026</v>
      </c>
      <c r="L430" t="str">
        <f>TEXT(Sales_Data[[#This Row],[Order Date]],"mmmm")</f>
        <v>February</v>
      </c>
      <c r="M430" s="1">
        <v>46081</v>
      </c>
      <c r="N430" s="1">
        <v>27596</v>
      </c>
      <c r="O430">
        <f>DATEDIF(Sales_Data[[#This Row],[Date of Birth]],Sales_Data[[#This Row],[Order Date]],"y")</f>
        <v>50</v>
      </c>
      <c r="P430" t="str" cm="1">
        <f t="array" ref="P430">_xlfn.IFS(Sales_Data[[#This Row],[Age ]]&lt;=30,"Young Adult",Sales_Data[[#This Row],[Age ]]&lt;=45,"Senior",Sales_Data[[#This Row],[Age ]]&lt;=60,"Adult",Sales_Data[[#This Row],[Age ]]&gt;=61,"Elderly")</f>
        <v>Adult</v>
      </c>
    </row>
    <row r="431" spans="1:16" x14ac:dyDescent="0.3">
      <c r="A431" t="s">
        <v>480</v>
      </c>
      <c r="B431" t="s">
        <v>18</v>
      </c>
      <c r="C431" t="s">
        <v>12</v>
      </c>
      <c r="D431" t="s">
        <v>20</v>
      </c>
      <c r="E431" t="s">
        <v>21</v>
      </c>
      <c r="F431">
        <v>7</v>
      </c>
      <c r="G431" s="2">
        <v>906</v>
      </c>
      <c r="H431" s="2">
        <v>6342</v>
      </c>
      <c r="I431" t="s">
        <v>22</v>
      </c>
      <c r="J431" t="s">
        <v>16</v>
      </c>
      <c r="K431" t="str">
        <f>TEXT(Sales_Data[[#This Row],[Order Date]],"yyyy")</f>
        <v>2026</v>
      </c>
      <c r="L431" t="str">
        <f>TEXT(Sales_Data[[#This Row],[Order Date]],"mmmm")</f>
        <v>July</v>
      </c>
      <c r="M431" s="1">
        <v>46205</v>
      </c>
      <c r="N431" s="1">
        <v>30358</v>
      </c>
      <c r="O431">
        <f>DATEDIF(Sales_Data[[#This Row],[Date of Birth]],Sales_Data[[#This Row],[Order Date]],"y")</f>
        <v>43</v>
      </c>
      <c r="P431" t="str" cm="1">
        <f t="array" ref="P431">_xlfn.IFS(Sales_Data[[#This Row],[Age ]]&lt;=30,"Young Adult",Sales_Data[[#This Row],[Age ]]&lt;=45,"Senior",Sales_Data[[#This Row],[Age ]]&lt;=60,"Adult",Sales_Data[[#This Row],[Age ]]&gt;=61,"Elderly")</f>
        <v>Senior</v>
      </c>
    </row>
    <row r="432" spans="1:16" x14ac:dyDescent="0.3">
      <c r="A432" t="s">
        <v>481</v>
      </c>
      <c r="B432" t="s">
        <v>11</v>
      </c>
      <c r="C432" t="s">
        <v>55</v>
      </c>
      <c r="D432" t="s">
        <v>30</v>
      </c>
      <c r="E432" t="s">
        <v>47</v>
      </c>
      <c r="F432">
        <v>22</v>
      </c>
      <c r="G432" s="2">
        <v>422</v>
      </c>
      <c r="H432" s="2">
        <v>9284</v>
      </c>
      <c r="I432" t="s">
        <v>22</v>
      </c>
      <c r="J432" t="s">
        <v>16</v>
      </c>
      <c r="K432" t="str">
        <f>TEXT(Sales_Data[[#This Row],[Order Date]],"yyyy")</f>
        <v>2026</v>
      </c>
      <c r="L432" t="str">
        <f>TEXT(Sales_Data[[#This Row],[Order Date]],"mmmm")</f>
        <v>January</v>
      </c>
      <c r="M432" s="1">
        <v>46049</v>
      </c>
      <c r="N432" s="1">
        <v>25707</v>
      </c>
      <c r="O432">
        <f>DATEDIF(Sales_Data[[#This Row],[Date of Birth]],Sales_Data[[#This Row],[Order Date]],"y")</f>
        <v>55</v>
      </c>
      <c r="P432" t="str" cm="1">
        <f t="array" ref="P432">_xlfn.IFS(Sales_Data[[#This Row],[Age ]]&lt;=30,"Young Adult",Sales_Data[[#This Row],[Age ]]&lt;=45,"Senior",Sales_Data[[#This Row],[Age ]]&lt;=60,"Adult",Sales_Data[[#This Row],[Age ]]&gt;=61,"Elderly")</f>
        <v>Adult</v>
      </c>
    </row>
    <row r="433" spans="1:16" x14ac:dyDescent="0.3">
      <c r="A433" t="s">
        <v>482</v>
      </c>
      <c r="B433" t="s">
        <v>11</v>
      </c>
      <c r="C433" t="s">
        <v>69</v>
      </c>
      <c r="D433" t="s">
        <v>20</v>
      </c>
      <c r="E433" t="s">
        <v>36</v>
      </c>
      <c r="F433">
        <v>46</v>
      </c>
      <c r="G433" s="2">
        <v>1006</v>
      </c>
      <c r="H433" s="2">
        <v>46276</v>
      </c>
      <c r="I433" t="s">
        <v>22</v>
      </c>
      <c r="J433" t="s">
        <v>34</v>
      </c>
      <c r="K433" t="str">
        <f>TEXT(Sales_Data[[#This Row],[Order Date]],"yyyy")</f>
        <v>2026</v>
      </c>
      <c r="L433" t="str">
        <f>TEXT(Sales_Data[[#This Row],[Order Date]],"mmmm")</f>
        <v>February</v>
      </c>
      <c r="M433" s="1">
        <v>46057</v>
      </c>
      <c r="N433" s="1">
        <v>38329</v>
      </c>
      <c r="O433">
        <f>DATEDIF(Sales_Data[[#This Row],[Date of Birth]],Sales_Data[[#This Row],[Order Date]],"y")</f>
        <v>21</v>
      </c>
      <c r="P433" t="str" cm="1">
        <f t="array" ref="P433">_xlfn.IFS(Sales_Data[[#This Row],[Age ]]&lt;=30,"Young Adult",Sales_Data[[#This Row],[Age ]]&lt;=45,"Senior",Sales_Data[[#This Row],[Age ]]&lt;=60,"Adult",Sales_Data[[#This Row],[Age ]]&gt;=61,"Elderly")</f>
        <v>Young Adult</v>
      </c>
    </row>
    <row r="434" spans="1:16" x14ac:dyDescent="0.3">
      <c r="A434" t="s">
        <v>483</v>
      </c>
      <c r="B434" t="s">
        <v>18</v>
      </c>
      <c r="C434" t="s">
        <v>65</v>
      </c>
      <c r="D434" t="s">
        <v>66</v>
      </c>
      <c r="E434" t="s">
        <v>92</v>
      </c>
      <c r="F434">
        <v>34</v>
      </c>
      <c r="G434" s="2">
        <v>25</v>
      </c>
      <c r="H434" s="2">
        <v>850</v>
      </c>
      <c r="I434" t="s">
        <v>22</v>
      </c>
      <c r="J434" t="s">
        <v>23</v>
      </c>
      <c r="K434" t="str">
        <f>TEXT(Sales_Data[[#This Row],[Order Date]],"yyyy")</f>
        <v>2026</v>
      </c>
      <c r="L434" t="str">
        <f>TEXT(Sales_Data[[#This Row],[Order Date]],"mmmm")</f>
        <v>December</v>
      </c>
      <c r="M434" s="1">
        <v>46360</v>
      </c>
      <c r="N434" s="1">
        <v>33076</v>
      </c>
      <c r="O434">
        <f>DATEDIF(Sales_Data[[#This Row],[Date of Birth]],Sales_Data[[#This Row],[Order Date]],"y")</f>
        <v>36</v>
      </c>
      <c r="P434" t="str" cm="1">
        <f t="array" ref="P434">_xlfn.IFS(Sales_Data[[#This Row],[Age ]]&lt;=30,"Young Adult",Sales_Data[[#This Row],[Age ]]&lt;=45,"Senior",Sales_Data[[#This Row],[Age ]]&lt;=60,"Adult",Sales_Data[[#This Row],[Age ]]&gt;=61,"Elderly")</f>
        <v>Senior</v>
      </c>
    </row>
    <row r="435" spans="1:16" x14ac:dyDescent="0.3">
      <c r="A435" t="s">
        <v>484</v>
      </c>
      <c r="B435" t="s">
        <v>18</v>
      </c>
      <c r="C435" t="s">
        <v>42</v>
      </c>
      <c r="D435" t="s">
        <v>20</v>
      </c>
      <c r="E435" t="s">
        <v>21</v>
      </c>
      <c r="F435">
        <v>17</v>
      </c>
      <c r="G435" s="2">
        <v>1331</v>
      </c>
      <c r="H435" s="2">
        <v>22627</v>
      </c>
      <c r="I435" t="s">
        <v>15</v>
      </c>
      <c r="J435" t="s">
        <v>34</v>
      </c>
      <c r="K435" t="str">
        <f>TEXT(Sales_Data[[#This Row],[Order Date]],"yyyy")</f>
        <v>2026</v>
      </c>
      <c r="L435" t="str">
        <f>TEXT(Sales_Data[[#This Row],[Order Date]],"mmmm")</f>
        <v>April</v>
      </c>
      <c r="M435" s="1">
        <v>46119</v>
      </c>
      <c r="N435" s="1">
        <v>27776</v>
      </c>
      <c r="O435">
        <f>DATEDIF(Sales_Data[[#This Row],[Date of Birth]],Sales_Data[[#This Row],[Order Date]],"y")</f>
        <v>50</v>
      </c>
      <c r="P435" t="str" cm="1">
        <f t="array" ref="P435">_xlfn.IFS(Sales_Data[[#This Row],[Age ]]&lt;=30,"Young Adult",Sales_Data[[#This Row],[Age ]]&lt;=45,"Senior",Sales_Data[[#This Row],[Age ]]&lt;=60,"Adult",Sales_Data[[#This Row],[Age ]]&gt;=61,"Elderly")</f>
        <v>Adult</v>
      </c>
    </row>
    <row r="436" spans="1:16" x14ac:dyDescent="0.3">
      <c r="A436" t="s">
        <v>485</v>
      </c>
      <c r="B436" t="s">
        <v>18</v>
      </c>
      <c r="C436" t="s">
        <v>55</v>
      </c>
      <c r="D436" t="s">
        <v>30</v>
      </c>
      <c r="E436" t="s">
        <v>31</v>
      </c>
      <c r="F436">
        <v>7</v>
      </c>
      <c r="G436" s="2">
        <v>474</v>
      </c>
      <c r="H436" s="2">
        <v>3318</v>
      </c>
      <c r="I436" t="s">
        <v>22</v>
      </c>
      <c r="J436" t="s">
        <v>16</v>
      </c>
      <c r="K436" t="str">
        <f>TEXT(Sales_Data[[#This Row],[Order Date]],"yyyy")</f>
        <v>2026</v>
      </c>
      <c r="L436" t="str">
        <f>TEXT(Sales_Data[[#This Row],[Order Date]],"mmmm")</f>
        <v>January</v>
      </c>
      <c r="M436" s="1">
        <v>46043</v>
      </c>
      <c r="N436" s="1">
        <v>33228</v>
      </c>
      <c r="O436">
        <f>DATEDIF(Sales_Data[[#This Row],[Date of Birth]],Sales_Data[[#This Row],[Order Date]],"y")</f>
        <v>35</v>
      </c>
      <c r="P436" t="str" cm="1">
        <f t="array" ref="P436">_xlfn.IFS(Sales_Data[[#This Row],[Age ]]&lt;=30,"Young Adult",Sales_Data[[#This Row],[Age ]]&lt;=45,"Senior",Sales_Data[[#This Row],[Age ]]&lt;=60,"Adult",Sales_Data[[#This Row],[Age ]]&gt;=61,"Elderly")</f>
        <v>Senior</v>
      </c>
    </row>
    <row r="437" spans="1:16" x14ac:dyDescent="0.3">
      <c r="A437" t="s">
        <v>486</v>
      </c>
      <c r="B437" t="s">
        <v>25</v>
      </c>
      <c r="C437" t="s">
        <v>55</v>
      </c>
      <c r="D437" t="s">
        <v>30</v>
      </c>
      <c r="E437" t="s">
        <v>47</v>
      </c>
      <c r="F437">
        <v>1</v>
      </c>
      <c r="G437" s="2">
        <v>593</v>
      </c>
      <c r="H437" s="2">
        <v>593</v>
      </c>
      <c r="I437" t="s">
        <v>15</v>
      </c>
      <c r="J437" t="s">
        <v>16</v>
      </c>
      <c r="K437" t="str">
        <f>TEXT(Sales_Data[[#This Row],[Order Date]],"yyyy")</f>
        <v>2026</v>
      </c>
      <c r="L437" t="str">
        <f>TEXT(Sales_Data[[#This Row],[Order Date]],"mmmm")</f>
        <v>December</v>
      </c>
      <c r="M437" s="1">
        <v>46358</v>
      </c>
      <c r="N437" s="1">
        <v>33483</v>
      </c>
      <c r="O437">
        <f>DATEDIF(Sales_Data[[#This Row],[Date of Birth]],Sales_Data[[#This Row],[Order Date]],"y")</f>
        <v>35</v>
      </c>
      <c r="P437" t="str" cm="1">
        <f t="array" ref="P437">_xlfn.IFS(Sales_Data[[#This Row],[Age ]]&lt;=30,"Young Adult",Sales_Data[[#This Row],[Age ]]&lt;=45,"Senior",Sales_Data[[#This Row],[Age ]]&lt;=60,"Adult",Sales_Data[[#This Row],[Age ]]&gt;=61,"Elderly")</f>
        <v>Senior</v>
      </c>
    </row>
    <row r="438" spans="1:16" x14ac:dyDescent="0.3">
      <c r="A438" t="s">
        <v>487</v>
      </c>
      <c r="B438" t="s">
        <v>29</v>
      </c>
      <c r="C438" t="s">
        <v>42</v>
      </c>
      <c r="D438" t="s">
        <v>30</v>
      </c>
      <c r="E438" t="s">
        <v>38</v>
      </c>
      <c r="F438">
        <v>7</v>
      </c>
      <c r="G438" s="2">
        <v>446</v>
      </c>
      <c r="H438" s="2">
        <v>3122</v>
      </c>
      <c r="I438" t="s">
        <v>22</v>
      </c>
      <c r="J438" t="s">
        <v>16</v>
      </c>
      <c r="K438" t="str">
        <f>TEXT(Sales_Data[[#This Row],[Order Date]],"yyyy")</f>
        <v>2026</v>
      </c>
      <c r="L438" t="str">
        <f>TEXT(Sales_Data[[#This Row],[Order Date]],"mmmm")</f>
        <v>November</v>
      </c>
      <c r="M438" s="1">
        <v>46346</v>
      </c>
      <c r="N438" s="1">
        <v>24394</v>
      </c>
      <c r="O438">
        <f>DATEDIF(Sales_Data[[#This Row],[Date of Birth]],Sales_Data[[#This Row],[Order Date]],"y")</f>
        <v>60</v>
      </c>
      <c r="P438" t="str" cm="1">
        <f t="array" ref="P438">_xlfn.IFS(Sales_Data[[#This Row],[Age ]]&lt;=30,"Young Adult",Sales_Data[[#This Row],[Age ]]&lt;=45,"Senior",Sales_Data[[#This Row],[Age ]]&lt;=60,"Adult",Sales_Data[[#This Row],[Age ]]&gt;=61,"Elderly")</f>
        <v>Adult</v>
      </c>
    </row>
    <row r="439" spans="1:16" x14ac:dyDescent="0.3">
      <c r="A439" t="s">
        <v>488</v>
      </c>
      <c r="B439" t="s">
        <v>11</v>
      </c>
      <c r="C439" t="s">
        <v>65</v>
      </c>
      <c r="D439" t="s">
        <v>30</v>
      </c>
      <c r="E439" t="s">
        <v>31</v>
      </c>
      <c r="F439">
        <v>26</v>
      </c>
      <c r="G439" s="2">
        <v>401</v>
      </c>
      <c r="H439" s="2">
        <v>10426</v>
      </c>
      <c r="I439" t="s">
        <v>22</v>
      </c>
      <c r="J439" t="s">
        <v>16</v>
      </c>
      <c r="K439" t="str">
        <f>TEXT(Sales_Data[[#This Row],[Order Date]],"yyyy")</f>
        <v>2026</v>
      </c>
      <c r="L439" t="str">
        <f>TEXT(Sales_Data[[#This Row],[Order Date]],"mmmm")</f>
        <v>May</v>
      </c>
      <c r="M439" s="1">
        <v>46157</v>
      </c>
      <c r="N439" s="1">
        <v>33890</v>
      </c>
      <c r="O439">
        <f>DATEDIF(Sales_Data[[#This Row],[Date of Birth]],Sales_Data[[#This Row],[Order Date]],"y")</f>
        <v>33</v>
      </c>
      <c r="P439" t="str" cm="1">
        <f t="array" ref="P439">_xlfn.IFS(Sales_Data[[#This Row],[Age ]]&lt;=30,"Young Adult",Sales_Data[[#This Row],[Age ]]&lt;=45,"Senior",Sales_Data[[#This Row],[Age ]]&lt;=60,"Adult",Sales_Data[[#This Row],[Age ]]&gt;=61,"Elderly")</f>
        <v>Senior</v>
      </c>
    </row>
    <row r="440" spans="1:16" x14ac:dyDescent="0.3">
      <c r="A440" t="s">
        <v>489</v>
      </c>
      <c r="B440" t="s">
        <v>11</v>
      </c>
      <c r="C440" t="s">
        <v>19</v>
      </c>
      <c r="D440" t="s">
        <v>66</v>
      </c>
      <c r="E440" t="s">
        <v>92</v>
      </c>
      <c r="F440">
        <v>21</v>
      </c>
      <c r="G440" s="2">
        <v>47</v>
      </c>
      <c r="H440" s="2">
        <v>987</v>
      </c>
      <c r="I440" t="s">
        <v>15</v>
      </c>
      <c r="J440" t="s">
        <v>16</v>
      </c>
      <c r="K440" t="str">
        <f>TEXT(Sales_Data[[#This Row],[Order Date]],"yyyy")</f>
        <v>2026</v>
      </c>
      <c r="L440" t="str">
        <f>TEXT(Sales_Data[[#This Row],[Order Date]],"mmmm")</f>
        <v>December</v>
      </c>
      <c r="M440" s="1">
        <v>46374</v>
      </c>
      <c r="N440" s="1">
        <v>25086</v>
      </c>
      <c r="O440">
        <f>DATEDIF(Sales_Data[[#This Row],[Date of Birth]],Sales_Data[[#This Row],[Order Date]],"y")</f>
        <v>58</v>
      </c>
      <c r="P440" t="str" cm="1">
        <f t="array" ref="P440">_xlfn.IFS(Sales_Data[[#This Row],[Age ]]&lt;=30,"Young Adult",Sales_Data[[#This Row],[Age ]]&lt;=45,"Senior",Sales_Data[[#This Row],[Age ]]&lt;=60,"Adult",Sales_Data[[#This Row],[Age ]]&gt;=61,"Elderly")</f>
        <v>Adult</v>
      </c>
    </row>
    <row r="441" spans="1:16" x14ac:dyDescent="0.3">
      <c r="A441" t="s">
        <v>490</v>
      </c>
      <c r="B441" t="s">
        <v>11</v>
      </c>
      <c r="C441" t="s">
        <v>26</v>
      </c>
      <c r="D441" t="s">
        <v>66</v>
      </c>
      <c r="E441" t="s">
        <v>77</v>
      </c>
      <c r="F441">
        <v>44</v>
      </c>
      <c r="G441" s="2">
        <v>10</v>
      </c>
      <c r="H441" s="2">
        <v>440</v>
      </c>
      <c r="I441" t="s">
        <v>15</v>
      </c>
      <c r="J441" t="s">
        <v>34</v>
      </c>
      <c r="K441" t="str">
        <f>TEXT(Sales_Data[[#This Row],[Order Date]],"yyyy")</f>
        <v>2026</v>
      </c>
      <c r="L441" t="str">
        <f>TEXT(Sales_Data[[#This Row],[Order Date]],"mmmm")</f>
        <v>December</v>
      </c>
      <c r="M441" s="1">
        <v>46377</v>
      </c>
      <c r="N441" s="1">
        <v>30611</v>
      </c>
      <c r="O441">
        <f>DATEDIF(Sales_Data[[#This Row],[Date of Birth]],Sales_Data[[#This Row],[Order Date]],"y")</f>
        <v>43</v>
      </c>
      <c r="P441" t="str" cm="1">
        <f t="array" ref="P441">_xlfn.IFS(Sales_Data[[#This Row],[Age ]]&lt;=30,"Young Adult",Sales_Data[[#This Row],[Age ]]&lt;=45,"Senior",Sales_Data[[#This Row],[Age ]]&lt;=60,"Adult",Sales_Data[[#This Row],[Age ]]&gt;=61,"Elderly")</f>
        <v>Senior</v>
      </c>
    </row>
    <row r="442" spans="1:16" x14ac:dyDescent="0.3">
      <c r="A442" t="s">
        <v>491</v>
      </c>
      <c r="B442" t="s">
        <v>29</v>
      </c>
      <c r="C442" t="s">
        <v>42</v>
      </c>
      <c r="D442" t="s">
        <v>20</v>
      </c>
      <c r="E442" t="s">
        <v>27</v>
      </c>
      <c r="F442">
        <v>37</v>
      </c>
      <c r="G442" s="2">
        <v>1446</v>
      </c>
      <c r="H442" s="2">
        <v>53502</v>
      </c>
      <c r="I442" t="s">
        <v>15</v>
      </c>
      <c r="J442" t="s">
        <v>16</v>
      </c>
      <c r="K442" t="str">
        <f>TEXT(Sales_Data[[#This Row],[Order Date]],"yyyy")</f>
        <v>2026</v>
      </c>
      <c r="L442" t="str">
        <f>TEXT(Sales_Data[[#This Row],[Order Date]],"mmmm")</f>
        <v>December</v>
      </c>
      <c r="M442" s="1">
        <v>46370</v>
      </c>
      <c r="N442" s="1">
        <v>34513</v>
      </c>
      <c r="O442">
        <f>DATEDIF(Sales_Data[[#This Row],[Date of Birth]],Sales_Data[[#This Row],[Order Date]],"y")</f>
        <v>32</v>
      </c>
      <c r="P442" t="str" cm="1">
        <f t="array" ref="P442">_xlfn.IFS(Sales_Data[[#This Row],[Age ]]&lt;=30,"Young Adult",Sales_Data[[#This Row],[Age ]]&lt;=45,"Senior",Sales_Data[[#This Row],[Age ]]&lt;=60,"Adult",Sales_Data[[#This Row],[Age ]]&gt;=61,"Elderly")</f>
        <v>Senior</v>
      </c>
    </row>
    <row r="443" spans="1:16" x14ac:dyDescent="0.3">
      <c r="A443" t="s">
        <v>492</v>
      </c>
      <c r="B443" t="s">
        <v>18</v>
      </c>
      <c r="C443" t="s">
        <v>19</v>
      </c>
      <c r="D443" t="s">
        <v>13</v>
      </c>
      <c r="E443" t="s">
        <v>14</v>
      </c>
      <c r="F443">
        <v>25</v>
      </c>
      <c r="G443" s="2">
        <v>397</v>
      </c>
      <c r="H443" s="2">
        <v>9925</v>
      </c>
      <c r="I443" t="s">
        <v>22</v>
      </c>
      <c r="J443" t="s">
        <v>23</v>
      </c>
      <c r="K443" t="str">
        <f>TEXT(Sales_Data[[#This Row],[Order Date]],"yyyy")</f>
        <v>2026</v>
      </c>
      <c r="L443" t="str">
        <f>TEXT(Sales_Data[[#This Row],[Order Date]],"mmmm")</f>
        <v>January</v>
      </c>
      <c r="M443" s="1">
        <v>46044</v>
      </c>
      <c r="N443" s="1">
        <v>33305</v>
      </c>
      <c r="O443">
        <f>DATEDIF(Sales_Data[[#This Row],[Date of Birth]],Sales_Data[[#This Row],[Order Date]],"y")</f>
        <v>34</v>
      </c>
      <c r="P443" t="str" cm="1">
        <f t="array" ref="P443">_xlfn.IFS(Sales_Data[[#This Row],[Age ]]&lt;=30,"Young Adult",Sales_Data[[#This Row],[Age ]]&lt;=45,"Senior",Sales_Data[[#This Row],[Age ]]&lt;=60,"Adult",Sales_Data[[#This Row],[Age ]]&gt;=61,"Elderly")</f>
        <v>Senior</v>
      </c>
    </row>
    <row r="444" spans="1:16" x14ac:dyDescent="0.3">
      <c r="A444" t="s">
        <v>493</v>
      </c>
      <c r="B444" t="s">
        <v>29</v>
      </c>
      <c r="C444" t="s">
        <v>19</v>
      </c>
      <c r="D444" t="s">
        <v>66</v>
      </c>
      <c r="E444" t="s">
        <v>77</v>
      </c>
      <c r="F444">
        <v>10</v>
      </c>
      <c r="G444" s="2">
        <v>5</v>
      </c>
      <c r="H444" s="2">
        <v>50</v>
      </c>
      <c r="I444" t="s">
        <v>15</v>
      </c>
      <c r="J444" t="s">
        <v>34</v>
      </c>
      <c r="K444" t="str">
        <f>TEXT(Sales_Data[[#This Row],[Order Date]],"yyyy")</f>
        <v>2026</v>
      </c>
      <c r="L444" t="str">
        <f>TEXT(Sales_Data[[#This Row],[Order Date]],"mmmm")</f>
        <v>December</v>
      </c>
      <c r="M444" s="1">
        <v>46382</v>
      </c>
      <c r="N444" s="1">
        <v>33003</v>
      </c>
      <c r="O444">
        <f>DATEDIF(Sales_Data[[#This Row],[Date of Birth]],Sales_Data[[#This Row],[Order Date]],"y")</f>
        <v>36</v>
      </c>
      <c r="P444" t="str" cm="1">
        <f t="array" ref="P444">_xlfn.IFS(Sales_Data[[#This Row],[Age ]]&lt;=30,"Young Adult",Sales_Data[[#This Row],[Age ]]&lt;=45,"Senior",Sales_Data[[#This Row],[Age ]]&lt;=60,"Adult",Sales_Data[[#This Row],[Age ]]&gt;=61,"Elderly")</f>
        <v>Senior</v>
      </c>
    </row>
    <row r="445" spans="1:16" x14ac:dyDescent="0.3">
      <c r="A445" t="s">
        <v>494</v>
      </c>
      <c r="B445" t="s">
        <v>11</v>
      </c>
      <c r="C445" t="s">
        <v>42</v>
      </c>
      <c r="D445" t="s">
        <v>20</v>
      </c>
      <c r="E445" t="s">
        <v>21</v>
      </c>
      <c r="F445">
        <v>40</v>
      </c>
      <c r="G445" s="2">
        <v>1463</v>
      </c>
      <c r="H445" s="2">
        <v>58520</v>
      </c>
      <c r="I445" t="s">
        <v>15</v>
      </c>
      <c r="J445" t="s">
        <v>16</v>
      </c>
      <c r="K445" t="str">
        <f>TEXT(Sales_Data[[#This Row],[Order Date]],"yyyy")</f>
        <v>2026</v>
      </c>
      <c r="L445" t="str">
        <f>TEXT(Sales_Data[[#This Row],[Order Date]],"mmmm")</f>
        <v>December</v>
      </c>
      <c r="M445" s="1">
        <v>46374</v>
      </c>
      <c r="N445" s="1">
        <v>32308</v>
      </c>
      <c r="O445">
        <f>DATEDIF(Sales_Data[[#This Row],[Date of Birth]],Sales_Data[[#This Row],[Order Date]],"y")</f>
        <v>38</v>
      </c>
      <c r="P445" t="str" cm="1">
        <f t="array" ref="P445">_xlfn.IFS(Sales_Data[[#This Row],[Age ]]&lt;=30,"Young Adult",Sales_Data[[#This Row],[Age ]]&lt;=45,"Senior",Sales_Data[[#This Row],[Age ]]&lt;=60,"Adult",Sales_Data[[#This Row],[Age ]]&gt;=61,"Elderly")</f>
        <v>Senior</v>
      </c>
    </row>
    <row r="446" spans="1:16" x14ac:dyDescent="0.3">
      <c r="A446" t="s">
        <v>495</v>
      </c>
      <c r="B446" t="s">
        <v>29</v>
      </c>
      <c r="C446" t="s">
        <v>69</v>
      </c>
      <c r="D446" t="s">
        <v>66</v>
      </c>
      <c r="E446" t="s">
        <v>67</v>
      </c>
      <c r="F446">
        <v>25</v>
      </c>
      <c r="G446" s="2">
        <v>26</v>
      </c>
      <c r="H446" s="2">
        <v>650</v>
      </c>
      <c r="I446" t="s">
        <v>15</v>
      </c>
      <c r="J446" t="s">
        <v>16</v>
      </c>
      <c r="K446" t="str">
        <f>TEXT(Sales_Data[[#This Row],[Order Date]],"yyyy")</f>
        <v>2026</v>
      </c>
      <c r="L446" t="str">
        <f>TEXT(Sales_Data[[#This Row],[Order Date]],"mmmm")</f>
        <v>July</v>
      </c>
      <c r="M446" s="1">
        <v>46229</v>
      </c>
      <c r="N446" s="1">
        <v>28926</v>
      </c>
      <c r="O446">
        <f>DATEDIF(Sales_Data[[#This Row],[Date of Birth]],Sales_Data[[#This Row],[Order Date]],"y")</f>
        <v>47</v>
      </c>
      <c r="P446" t="str" cm="1">
        <f t="array" ref="P446">_xlfn.IFS(Sales_Data[[#This Row],[Age ]]&lt;=30,"Young Adult",Sales_Data[[#This Row],[Age ]]&lt;=45,"Senior",Sales_Data[[#This Row],[Age ]]&lt;=60,"Adult",Sales_Data[[#This Row],[Age ]]&gt;=61,"Elderly")</f>
        <v>Adult</v>
      </c>
    </row>
    <row r="447" spans="1:16" x14ac:dyDescent="0.3">
      <c r="A447" t="s">
        <v>496</v>
      </c>
      <c r="B447" t="s">
        <v>29</v>
      </c>
      <c r="C447" t="s">
        <v>19</v>
      </c>
      <c r="D447" t="s">
        <v>66</v>
      </c>
      <c r="E447" t="s">
        <v>83</v>
      </c>
      <c r="F447">
        <v>40</v>
      </c>
      <c r="G447" s="2">
        <v>30</v>
      </c>
      <c r="H447" s="2">
        <v>1200</v>
      </c>
      <c r="I447" t="s">
        <v>15</v>
      </c>
      <c r="J447" t="s">
        <v>34</v>
      </c>
      <c r="K447" t="str">
        <f>TEXT(Sales_Data[[#This Row],[Order Date]],"yyyy")</f>
        <v>2026</v>
      </c>
      <c r="L447" t="str">
        <f>TEXT(Sales_Data[[#This Row],[Order Date]],"mmmm")</f>
        <v>April</v>
      </c>
      <c r="M447" s="1">
        <v>46133</v>
      </c>
      <c r="N447" s="1">
        <v>28015</v>
      </c>
      <c r="O447">
        <f>DATEDIF(Sales_Data[[#This Row],[Date of Birth]],Sales_Data[[#This Row],[Order Date]],"y")</f>
        <v>49</v>
      </c>
      <c r="P447" t="str" cm="1">
        <f t="array" ref="P447">_xlfn.IFS(Sales_Data[[#This Row],[Age ]]&lt;=30,"Young Adult",Sales_Data[[#This Row],[Age ]]&lt;=45,"Senior",Sales_Data[[#This Row],[Age ]]&lt;=60,"Adult",Sales_Data[[#This Row],[Age ]]&gt;=61,"Elderly")</f>
        <v>Adult</v>
      </c>
    </row>
    <row r="448" spans="1:16" x14ac:dyDescent="0.3">
      <c r="A448" t="s">
        <v>497</v>
      </c>
      <c r="B448" t="s">
        <v>18</v>
      </c>
      <c r="C448" t="s">
        <v>42</v>
      </c>
      <c r="D448" t="s">
        <v>20</v>
      </c>
      <c r="E448" t="s">
        <v>43</v>
      </c>
      <c r="F448">
        <v>44</v>
      </c>
      <c r="G448" s="2">
        <v>232</v>
      </c>
      <c r="H448" s="2">
        <v>10208</v>
      </c>
      <c r="I448" t="s">
        <v>15</v>
      </c>
      <c r="J448" t="s">
        <v>34</v>
      </c>
      <c r="K448" t="str">
        <f>TEXT(Sales_Data[[#This Row],[Order Date]],"yyyy")</f>
        <v>2026</v>
      </c>
      <c r="L448" t="str">
        <f>TEXT(Sales_Data[[#This Row],[Order Date]],"mmmm")</f>
        <v>March</v>
      </c>
      <c r="M448" s="1">
        <v>46087</v>
      </c>
      <c r="N448" s="1">
        <v>27089</v>
      </c>
      <c r="O448">
        <f>DATEDIF(Sales_Data[[#This Row],[Date of Birth]],Sales_Data[[#This Row],[Order Date]],"y")</f>
        <v>52</v>
      </c>
      <c r="P448" t="str" cm="1">
        <f t="array" ref="P448">_xlfn.IFS(Sales_Data[[#This Row],[Age ]]&lt;=30,"Young Adult",Sales_Data[[#This Row],[Age ]]&lt;=45,"Senior",Sales_Data[[#This Row],[Age ]]&lt;=60,"Adult",Sales_Data[[#This Row],[Age ]]&gt;=61,"Elderly")</f>
        <v>Adult</v>
      </c>
    </row>
    <row r="449" spans="1:16" x14ac:dyDescent="0.3">
      <c r="A449" t="s">
        <v>498</v>
      </c>
      <c r="B449" t="s">
        <v>29</v>
      </c>
      <c r="C449" t="s">
        <v>69</v>
      </c>
      <c r="D449" t="s">
        <v>66</v>
      </c>
      <c r="E449" t="s">
        <v>92</v>
      </c>
      <c r="F449">
        <v>17</v>
      </c>
      <c r="G449" s="2">
        <v>10</v>
      </c>
      <c r="H449" s="2">
        <v>170</v>
      </c>
      <c r="I449" t="s">
        <v>22</v>
      </c>
      <c r="J449" t="s">
        <v>34</v>
      </c>
      <c r="K449" t="str">
        <f>TEXT(Sales_Data[[#This Row],[Order Date]],"yyyy")</f>
        <v>2026</v>
      </c>
      <c r="L449" t="str">
        <f>TEXT(Sales_Data[[#This Row],[Order Date]],"mmmm")</f>
        <v>March</v>
      </c>
      <c r="M449" s="1">
        <v>46100</v>
      </c>
      <c r="N449" s="1">
        <v>34715</v>
      </c>
      <c r="O449">
        <f>DATEDIF(Sales_Data[[#This Row],[Date of Birth]],Sales_Data[[#This Row],[Order Date]],"y")</f>
        <v>31</v>
      </c>
      <c r="P449" t="str" cm="1">
        <f t="array" ref="P449">_xlfn.IFS(Sales_Data[[#This Row],[Age ]]&lt;=30,"Young Adult",Sales_Data[[#This Row],[Age ]]&lt;=45,"Senior",Sales_Data[[#This Row],[Age ]]&lt;=60,"Adult",Sales_Data[[#This Row],[Age ]]&gt;=61,"Elderly")</f>
        <v>Senior</v>
      </c>
    </row>
    <row r="450" spans="1:16" x14ac:dyDescent="0.3">
      <c r="A450" t="s">
        <v>499</v>
      </c>
      <c r="B450" t="s">
        <v>29</v>
      </c>
      <c r="C450" t="s">
        <v>55</v>
      </c>
      <c r="D450" t="s">
        <v>30</v>
      </c>
      <c r="E450" t="s">
        <v>57</v>
      </c>
      <c r="F450">
        <v>10</v>
      </c>
      <c r="G450" s="2">
        <v>380</v>
      </c>
      <c r="H450" s="2">
        <v>3800</v>
      </c>
      <c r="I450" t="s">
        <v>22</v>
      </c>
      <c r="J450" t="s">
        <v>23</v>
      </c>
      <c r="K450" t="str">
        <f>TEXT(Sales_Data[[#This Row],[Order Date]],"yyyy")</f>
        <v>2026</v>
      </c>
      <c r="L450" t="str">
        <f>TEXT(Sales_Data[[#This Row],[Order Date]],"mmmm")</f>
        <v>October</v>
      </c>
      <c r="M450" s="1">
        <v>46297</v>
      </c>
      <c r="N450" s="1">
        <v>35477</v>
      </c>
      <c r="O450">
        <f>DATEDIF(Sales_Data[[#This Row],[Date of Birth]],Sales_Data[[#This Row],[Order Date]],"y")</f>
        <v>29</v>
      </c>
      <c r="P450" t="str" cm="1">
        <f t="array" ref="P450">_xlfn.IFS(Sales_Data[[#This Row],[Age ]]&lt;=30,"Young Adult",Sales_Data[[#This Row],[Age ]]&lt;=45,"Senior",Sales_Data[[#This Row],[Age ]]&lt;=60,"Adult",Sales_Data[[#This Row],[Age ]]&gt;=61,"Elderly")</f>
        <v>Young Adult</v>
      </c>
    </row>
    <row r="451" spans="1:16" x14ac:dyDescent="0.3">
      <c r="A451" t="s">
        <v>500</v>
      </c>
      <c r="B451" t="s">
        <v>11</v>
      </c>
      <c r="C451" t="s">
        <v>42</v>
      </c>
      <c r="D451" t="s">
        <v>66</v>
      </c>
      <c r="E451" t="s">
        <v>92</v>
      </c>
      <c r="F451">
        <v>15</v>
      </c>
      <c r="G451" s="2">
        <v>13</v>
      </c>
      <c r="H451" s="2">
        <v>195</v>
      </c>
      <c r="I451" t="s">
        <v>22</v>
      </c>
      <c r="J451" t="s">
        <v>23</v>
      </c>
      <c r="K451" t="str">
        <f>TEXT(Sales_Data[[#This Row],[Order Date]],"yyyy")</f>
        <v>2026</v>
      </c>
      <c r="L451" t="str">
        <f>TEXT(Sales_Data[[#This Row],[Order Date]],"mmmm")</f>
        <v>September</v>
      </c>
      <c r="M451" s="1">
        <v>46268</v>
      </c>
      <c r="N451" s="1">
        <v>28890</v>
      </c>
      <c r="O451">
        <f>DATEDIF(Sales_Data[[#This Row],[Date of Birth]],Sales_Data[[#This Row],[Order Date]],"y")</f>
        <v>47</v>
      </c>
      <c r="P451" t="str" cm="1">
        <f t="array" ref="P451">_xlfn.IFS(Sales_Data[[#This Row],[Age ]]&lt;=30,"Young Adult",Sales_Data[[#This Row],[Age ]]&lt;=45,"Senior",Sales_Data[[#This Row],[Age ]]&lt;=60,"Adult",Sales_Data[[#This Row],[Age ]]&gt;=61,"Elderly")</f>
        <v>Adult</v>
      </c>
    </row>
    <row r="452" spans="1:16" x14ac:dyDescent="0.3">
      <c r="A452" t="s">
        <v>501</v>
      </c>
      <c r="B452" t="s">
        <v>29</v>
      </c>
      <c r="C452" t="s">
        <v>46</v>
      </c>
      <c r="D452" t="s">
        <v>66</v>
      </c>
      <c r="E452" t="s">
        <v>83</v>
      </c>
      <c r="F452">
        <v>14</v>
      </c>
      <c r="G452" s="2">
        <v>44</v>
      </c>
      <c r="H452" s="2">
        <v>616</v>
      </c>
      <c r="I452" t="s">
        <v>15</v>
      </c>
      <c r="J452" t="s">
        <v>16</v>
      </c>
      <c r="K452" t="str">
        <f>TEXT(Sales_Data[[#This Row],[Order Date]],"yyyy")</f>
        <v>2026</v>
      </c>
      <c r="L452" t="str">
        <f>TEXT(Sales_Data[[#This Row],[Order Date]],"mmmm")</f>
        <v>June</v>
      </c>
      <c r="M452" s="1">
        <v>46184</v>
      </c>
      <c r="N452" s="1">
        <v>27653</v>
      </c>
      <c r="O452">
        <f>DATEDIF(Sales_Data[[#This Row],[Date of Birth]],Sales_Data[[#This Row],[Order Date]],"y")</f>
        <v>50</v>
      </c>
      <c r="P452" t="str" cm="1">
        <f t="array" ref="P452">_xlfn.IFS(Sales_Data[[#This Row],[Age ]]&lt;=30,"Young Adult",Sales_Data[[#This Row],[Age ]]&lt;=45,"Senior",Sales_Data[[#This Row],[Age ]]&lt;=60,"Adult",Sales_Data[[#This Row],[Age ]]&gt;=61,"Elderly")</f>
        <v>Adult</v>
      </c>
    </row>
    <row r="453" spans="1:16" x14ac:dyDescent="0.3">
      <c r="A453" t="s">
        <v>502</v>
      </c>
      <c r="B453" t="s">
        <v>29</v>
      </c>
      <c r="C453" t="s">
        <v>55</v>
      </c>
      <c r="D453" t="s">
        <v>20</v>
      </c>
      <c r="E453" t="s">
        <v>27</v>
      </c>
      <c r="F453">
        <v>49</v>
      </c>
      <c r="G453" s="2">
        <v>1409</v>
      </c>
      <c r="H453" s="2">
        <v>69041</v>
      </c>
      <c r="I453" t="s">
        <v>15</v>
      </c>
      <c r="J453" t="s">
        <v>16</v>
      </c>
      <c r="K453" t="str">
        <f>TEXT(Sales_Data[[#This Row],[Order Date]],"yyyy")</f>
        <v>2026</v>
      </c>
      <c r="L453" t="str">
        <f>TEXT(Sales_Data[[#This Row],[Order Date]],"mmmm")</f>
        <v>January</v>
      </c>
      <c r="M453" s="1">
        <v>46026</v>
      </c>
      <c r="N453" s="1">
        <v>28094</v>
      </c>
      <c r="O453">
        <f>DATEDIF(Sales_Data[[#This Row],[Date of Birth]],Sales_Data[[#This Row],[Order Date]],"y")</f>
        <v>49</v>
      </c>
      <c r="P453" t="str" cm="1">
        <f t="array" ref="P453">_xlfn.IFS(Sales_Data[[#This Row],[Age ]]&lt;=30,"Young Adult",Sales_Data[[#This Row],[Age ]]&lt;=45,"Senior",Sales_Data[[#This Row],[Age ]]&lt;=60,"Adult",Sales_Data[[#This Row],[Age ]]&gt;=61,"Elderly")</f>
        <v>Adult</v>
      </c>
    </row>
    <row r="454" spans="1:16" x14ac:dyDescent="0.3">
      <c r="A454" t="s">
        <v>503</v>
      </c>
      <c r="B454" t="s">
        <v>18</v>
      </c>
      <c r="C454" t="s">
        <v>42</v>
      </c>
      <c r="D454" t="s">
        <v>30</v>
      </c>
      <c r="E454" t="s">
        <v>57</v>
      </c>
      <c r="F454">
        <v>44</v>
      </c>
      <c r="G454" s="2">
        <v>378</v>
      </c>
      <c r="H454" s="2">
        <v>16632</v>
      </c>
      <c r="I454" t="s">
        <v>22</v>
      </c>
      <c r="J454" t="s">
        <v>16</v>
      </c>
      <c r="K454" t="str">
        <f>TEXT(Sales_Data[[#This Row],[Order Date]],"yyyy")</f>
        <v>2026</v>
      </c>
      <c r="L454" t="str">
        <f>TEXT(Sales_Data[[#This Row],[Order Date]],"mmmm")</f>
        <v>July</v>
      </c>
      <c r="M454" s="1">
        <v>46229</v>
      </c>
      <c r="N454" s="1">
        <v>30227</v>
      </c>
      <c r="O454">
        <f>DATEDIF(Sales_Data[[#This Row],[Date of Birth]],Sales_Data[[#This Row],[Order Date]],"y")</f>
        <v>43</v>
      </c>
      <c r="P454" t="str" cm="1">
        <f t="array" ref="P454">_xlfn.IFS(Sales_Data[[#This Row],[Age ]]&lt;=30,"Young Adult",Sales_Data[[#This Row],[Age ]]&lt;=45,"Senior",Sales_Data[[#This Row],[Age ]]&lt;=60,"Adult",Sales_Data[[#This Row],[Age ]]&gt;=61,"Elderly")</f>
        <v>Senior</v>
      </c>
    </row>
    <row r="455" spans="1:16" x14ac:dyDescent="0.3">
      <c r="A455" t="s">
        <v>504</v>
      </c>
      <c r="B455" t="s">
        <v>25</v>
      </c>
      <c r="C455" t="s">
        <v>55</v>
      </c>
      <c r="D455" t="s">
        <v>66</v>
      </c>
      <c r="E455" t="s">
        <v>67</v>
      </c>
      <c r="F455">
        <v>34</v>
      </c>
      <c r="G455" s="2">
        <v>25</v>
      </c>
      <c r="H455" s="2">
        <v>850</v>
      </c>
      <c r="I455" t="s">
        <v>15</v>
      </c>
      <c r="J455" t="s">
        <v>34</v>
      </c>
      <c r="K455" t="str">
        <f>TEXT(Sales_Data[[#This Row],[Order Date]],"yyyy")</f>
        <v>2026</v>
      </c>
      <c r="L455" t="str">
        <f>TEXT(Sales_Data[[#This Row],[Order Date]],"mmmm")</f>
        <v>September</v>
      </c>
      <c r="M455" s="1">
        <v>46291</v>
      </c>
      <c r="N455" s="1">
        <v>25887</v>
      </c>
      <c r="O455">
        <f>DATEDIF(Sales_Data[[#This Row],[Date of Birth]],Sales_Data[[#This Row],[Order Date]],"y")</f>
        <v>55</v>
      </c>
      <c r="P455" t="str" cm="1">
        <f t="array" ref="P455">_xlfn.IFS(Sales_Data[[#This Row],[Age ]]&lt;=30,"Young Adult",Sales_Data[[#This Row],[Age ]]&lt;=45,"Senior",Sales_Data[[#This Row],[Age ]]&lt;=60,"Adult",Sales_Data[[#This Row],[Age ]]&gt;=61,"Elderly")</f>
        <v>Adult</v>
      </c>
    </row>
    <row r="456" spans="1:16" x14ac:dyDescent="0.3">
      <c r="A456" t="s">
        <v>505</v>
      </c>
      <c r="B456" t="s">
        <v>18</v>
      </c>
      <c r="C456" t="s">
        <v>12</v>
      </c>
      <c r="D456" t="s">
        <v>30</v>
      </c>
      <c r="E456" t="s">
        <v>31</v>
      </c>
      <c r="F456">
        <v>33</v>
      </c>
      <c r="G456" s="2">
        <v>134</v>
      </c>
      <c r="H456" s="2">
        <v>4422</v>
      </c>
      <c r="I456" t="s">
        <v>15</v>
      </c>
      <c r="J456" t="s">
        <v>16</v>
      </c>
      <c r="K456" t="str">
        <f>TEXT(Sales_Data[[#This Row],[Order Date]],"yyyy")</f>
        <v>2026</v>
      </c>
      <c r="L456" t="str">
        <f>TEXT(Sales_Data[[#This Row],[Order Date]],"mmmm")</f>
        <v>February</v>
      </c>
      <c r="M456" s="1">
        <v>46059</v>
      </c>
      <c r="N456" s="1">
        <v>34747</v>
      </c>
      <c r="O456">
        <f>DATEDIF(Sales_Data[[#This Row],[Date of Birth]],Sales_Data[[#This Row],[Order Date]],"y")</f>
        <v>30</v>
      </c>
      <c r="P456" t="str" cm="1">
        <f t="array" ref="P456">_xlfn.IFS(Sales_Data[[#This Row],[Age ]]&lt;=30,"Young Adult",Sales_Data[[#This Row],[Age ]]&lt;=45,"Senior",Sales_Data[[#This Row],[Age ]]&lt;=60,"Adult",Sales_Data[[#This Row],[Age ]]&gt;=61,"Elderly")</f>
        <v>Young Adult</v>
      </c>
    </row>
    <row r="457" spans="1:16" x14ac:dyDescent="0.3">
      <c r="A457" t="s">
        <v>506</v>
      </c>
      <c r="B457" t="s">
        <v>25</v>
      </c>
      <c r="C457" t="s">
        <v>12</v>
      </c>
      <c r="D457" t="s">
        <v>30</v>
      </c>
      <c r="E457" t="s">
        <v>47</v>
      </c>
      <c r="F457">
        <v>7</v>
      </c>
      <c r="G457" s="2">
        <v>260</v>
      </c>
      <c r="H457" s="2">
        <v>1820</v>
      </c>
      <c r="I457" t="s">
        <v>15</v>
      </c>
      <c r="J457" t="s">
        <v>23</v>
      </c>
      <c r="K457" t="str">
        <f>TEXT(Sales_Data[[#This Row],[Order Date]],"yyyy")</f>
        <v>2026</v>
      </c>
      <c r="L457" t="str">
        <f>TEXT(Sales_Data[[#This Row],[Order Date]],"mmmm")</f>
        <v>September</v>
      </c>
      <c r="M457" s="1">
        <v>46292</v>
      </c>
      <c r="N457" s="1">
        <v>34318</v>
      </c>
      <c r="O457">
        <f>DATEDIF(Sales_Data[[#This Row],[Date of Birth]],Sales_Data[[#This Row],[Order Date]],"y")</f>
        <v>32</v>
      </c>
      <c r="P457" t="str" cm="1">
        <f t="array" ref="P457">_xlfn.IFS(Sales_Data[[#This Row],[Age ]]&lt;=30,"Young Adult",Sales_Data[[#This Row],[Age ]]&lt;=45,"Senior",Sales_Data[[#This Row],[Age ]]&lt;=60,"Adult",Sales_Data[[#This Row],[Age ]]&gt;=61,"Elderly")</f>
        <v>Senior</v>
      </c>
    </row>
    <row r="458" spans="1:16" x14ac:dyDescent="0.3">
      <c r="A458" t="s">
        <v>507</v>
      </c>
      <c r="B458" t="s">
        <v>11</v>
      </c>
      <c r="C458" t="s">
        <v>46</v>
      </c>
      <c r="D458" t="s">
        <v>20</v>
      </c>
      <c r="E458" t="s">
        <v>36</v>
      </c>
      <c r="F458">
        <v>3</v>
      </c>
      <c r="G458" s="2">
        <v>259</v>
      </c>
      <c r="H458" s="2">
        <v>777</v>
      </c>
      <c r="I458" t="s">
        <v>15</v>
      </c>
      <c r="J458" t="s">
        <v>16</v>
      </c>
      <c r="K458" t="str">
        <f>TEXT(Sales_Data[[#This Row],[Order Date]],"yyyy")</f>
        <v>2026</v>
      </c>
      <c r="L458" t="str">
        <f>TEXT(Sales_Data[[#This Row],[Order Date]],"mmmm")</f>
        <v>February</v>
      </c>
      <c r="M458" s="1">
        <v>46055</v>
      </c>
      <c r="N458" s="1">
        <v>28658</v>
      </c>
      <c r="O458">
        <f>DATEDIF(Sales_Data[[#This Row],[Date of Birth]],Sales_Data[[#This Row],[Order Date]],"y")</f>
        <v>47</v>
      </c>
      <c r="P458" t="str" cm="1">
        <f t="array" ref="P458">_xlfn.IFS(Sales_Data[[#This Row],[Age ]]&lt;=30,"Young Adult",Sales_Data[[#This Row],[Age ]]&lt;=45,"Senior",Sales_Data[[#This Row],[Age ]]&lt;=60,"Adult",Sales_Data[[#This Row],[Age ]]&gt;=61,"Elderly")</f>
        <v>Adult</v>
      </c>
    </row>
    <row r="459" spans="1:16" x14ac:dyDescent="0.3">
      <c r="A459" t="s">
        <v>508</v>
      </c>
      <c r="B459" t="s">
        <v>25</v>
      </c>
      <c r="C459" t="s">
        <v>42</v>
      </c>
      <c r="D459" t="s">
        <v>30</v>
      </c>
      <c r="E459" t="s">
        <v>31</v>
      </c>
      <c r="F459">
        <v>27</v>
      </c>
      <c r="G459" s="2">
        <v>447</v>
      </c>
      <c r="H459" s="2">
        <v>12069</v>
      </c>
      <c r="I459" t="s">
        <v>22</v>
      </c>
      <c r="J459" t="s">
        <v>23</v>
      </c>
      <c r="K459" t="str">
        <f>TEXT(Sales_Data[[#This Row],[Order Date]],"yyyy")</f>
        <v>2026</v>
      </c>
      <c r="L459" t="str">
        <f>TEXT(Sales_Data[[#This Row],[Order Date]],"mmmm")</f>
        <v>August</v>
      </c>
      <c r="M459" s="1">
        <v>46255</v>
      </c>
      <c r="N459" s="1">
        <v>31234</v>
      </c>
      <c r="O459">
        <f>DATEDIF(Sales_Data[[#This Row],[Date of Birth]],Sales_Data[[#This Row],[Order Date]],"y")</f>
        <v>41</v>
      </c>
      <c r="P459" t="str" cm="1">
        <f t="array" ref="P459">_xlfn.IFS(Sales_Data[[#This Row],[Age ]]&lt;=30,"Young Adult",Sales_Data[[#This Row],[Age ]]&lt;=45,"Senior",Sales_Data[[#This Row],[Age ]]&lt;=60,"Adult",Sales_Data[[#This Row],[Age ]]&gt;=61,"Elderly")</f>
        <v>Senior</v>
      </c>
    </row>
    <row r="460" spans="1:16" x14ac:dyDescent="0.3">
      <c r="A460" t="s">
        <v>509</v>
      </c>
      <c r="B460" t="s">
        <v>18</v>
      </c>
      <c r="C460" t="s">
        <v>69</v>
      </c>
      <c r="D460" t="s">
        <v>20</v>
      </c>
      <c r="E460" t="s">
        <v>21</v>
      </c>
      <c r="F460">
        <v>35</v>
      </c>
      <c r="G460" s="2">
        <v>92</v>
      </c>
      <c r="H460" s="2">
        <v>3220</v>
      </c>
      <c r="I460" t="s">
        <v>15</v>
      </c>
      <c r="J460" t="s">
        <v>34</v>
      </c>
      <c r="K460" t="str">
        <f>TEXT(Sales_Data[[#This Row],[Order Date]],"yyyy")</f>
        <v>2026</v>
      </c>
      <c r="L460" t="str">
        <f>TEXT(Sales_Data[[#This Row],[Order Date]],"mmmm")</f>
        <v>November</v>
      </c>
      <c r="M460" s="1">
        <v>46350</v>
      </c>
      <c r="N460" s="1">
        <v>28923</v>
      </c>
      <c r="O460">
        <f>DATEDIF(Sales_Data[[#This Row],[Date of Birth]],Sales_Data[[#This Row],[Order Date]],"y")</f>
        <v>47</v>
      </c>
      <c r="P460" t="str" cm="1">
        <f t="array" ref="P460">_xlfn.IFS(Sales_Data[[#This Row],[Age ]]&lt;=30,"Young Adult",Sales_Data[[#This Row],[Age ]]&lt;=45,"Senior",Sales_Data[[#This Row],[Age ]]&lt;=60,"Adult",Sales_Data[[#This Row],[Age ]]&gt;=61,"Elderly")</f>
        <v>Adult</v>
      </c>
    </row>
    <row r="461" spans="1:16" x14ac:dyDescent="0.3">
      <c r="A461" t="s">
        <v>510</v>
      </c>
      <c r="B461" t="s">
        <v>29</v>
      </c>
      <c r="C461" t="s">
        <v>55</v>
      </c>
      <c r="D461" t="s">
        <v>13</v>
      </c>
      <c r="E461" t="s">
        <v>40</v>
      </c>
      <c r="F461">
        <v>44</v>
      </c>
      <c r="G461" s="2">
        <v>717</v>
      </c>
      <c r="H461" s="2">
        <v>31548</v>
      </c>
      <c r="I461" t="s">
        <v>22</v>
      </c>
      <c r="J461" t="s">
        <v>34</v>
      </c>
      <c r="K461" t="str">
        <f>TEXT(Sales_Data[[#This Row],[Order Date]],"yyyy")</f>
        <v>2026</v>
      </c>
      <c r="L461" t="str">
        <f>TEXT(Sales_Data[[#This Row],[Order Date]],"mmmm")</f>
        <v>October</v>
      </c>
      <c r="M461" s="1">
        <v>46298</v>
      </c>
      <c r="N461" s="1">
        <v>36061</v>
      </c>
      <c r="O461">
        <f>DATEDIF(Sales_Data[[#This Row],[Date of Birth]],Sales_Data[[#This Row],[Order Date]],"y")</f>
        <v>28</v>
      </c>
      <c r="P461" t="str" cm="1">
        <f t="array" ref="P461">_xlfn.IFS(Sales_Data[[#This Row],[Age ]]&lt;=30,"Young Adult",Sales_Data[[#This Row],[Age ]]&lt;=45,"Senior",Sales_Data[[#This Row],[Age ]]&lt;=60,"Adult",Sales_Data[[#This Row],[Age ]]&gt;=61,"Elderly")</f>
        <v>Young Adult</v>
      </c>
    </row>
    <row r="462" spans="1:16" x14ac:dyDescent="0.3">
      <c r="A462" t="s">
        <v>511</v>
      </c>
      <c r="B462" t="s">
        <v>25</v>
      </c>
      <c r="C462" t="s">
        <v>46</v>
      </c>
      <c r="D462" t="s">
        <v>13</v>
      </c>
      <c r="E462" t="s">
        <v>63</v>
      </c>
      <c r="F462">
        <v>11</v>
      </c>
      <c r="G462" s="2">
        <v>1192</v>
      </c>
      <c r="H462" s="2">
        <v>13112</v>
      </c>
      <c r="I462" t="s">
        <v>15</v>
      </c>
      <c r="J462" t="s">
        <v>34</v>
      </c>
      <c r="K462" t="str">
        <f>TEXT(Sales_Data[[#This Row],[Order Date]],"yyyy")</f>
        <v>2026</v>
      </c>
      <c r="L462" t="str">
        <f>TEXT(Sales_Data[[#This Row],[Order Date]],"mmmm")</f>
        <v>April</v>
      </c>
      <c r="M462" s="1">
        <v>46117</v>
      </c>
      <c r="N462" s="1">
        <v>24931</v>
      </c>
      <c r="O462">
        <f>DATEDIF(Sales_Data[[#This Row],[Date of Birth]],Sales_Data[[#This Row],[Order Date]],"y")</f>
        <v>58</v>
      </c>
      <c r="P462" t="str" cm="1">
        <f t="array" ref="P462">_xlfn.IFS(Sales_Data[[#This Row],[Age ]]&lt;=30,"Young Adult",Sales_Data[[#This Row],[Age ]]&lt;=45,"Senior",Sales_Data[[#This Row],[Age ]]&lt;=60,"Adult",Sales_Data[[#This Row],[Age ]]&gt;=61,"Elderly")</f>
        <v>Adult</v>
      </c>
    </row>
    <row r="463" spans="1:16" x14ac:dyDescent="0.3">
      <c r="A463" t="s">
        <v>512</v>
      </c>
      <c r="B463" t="s">
        <v>18</v>
      </c>
      <c r="C463" t="s">
        <v>69</v>
      </c>
      <c r="D463" t="s">
        <v>66</v>
      </c>
      <c r="E463" t="s">
        <v>67</v>
      </c>
      <c r="F463">
        <v>36</v>
      </c>
      <c r="G463" s="2">
        <v>37</v>
      </c>
      <c r="H463" s="2">
        <v>1332</v>
      </c>
      <c r="I463" t="s">
        <v>22</v>
      </c>
      <c r="J463" t="s">
        <v>16</v>
      </c>
      <c r="K463" t="str">
        <f>TEXT(Sales_Data[[#This Row],[Order Date]],"yyyy")</f>
        <v>2026</v>
      </c>
      <c r="L463" t="str">
        <f>TEXT(Sales_Data[[#This Row],[Order Date]],"mmmm")</f>
        <v>March</v>
      </c>
      <c r="M463" s="1">
        <v>46085</v>
      </c>
      <c r="N463" s="1">
        <v>23895</v>
      </c>
      <c r="O463">
        <f>DATEDIF(Sales_Data[[#This Row],[Date of Birth]],Sales_Data[[#This Row],[Order Date]],"y")</f>
        <v>60</v>
      </c>
      <c r="P463" t="str" cm="1">
        <f t="array" ref="P463">_xlfn.IFS(Sales_Data[[#This Row],[Age ]]&lt;=30,"Young Adult",Sales_Data[[#This Row],[Age ]]&lt;=45,"Senior",Sales_Data[[#This Row],[Age ]]&lt;=60,"Adult",Sales_Data[[#This Row],[Age ]]&gt;=61,"Elderly")</f>
        <v>Adult</v>
      </c>
    </row>
    <row r="464" spans="1:16" x14ac:dyDescent="0.3">
      <c r="A464" t="s">
        <v>513</v>
      </c>
      <c r="B464" t="s">
        <v>11</v>
      </c>
      <c r="C464" t="s">
        <v>65</v>
      </c>
      <c r="D464" t="s">
        <v>13</v>
      </c>
      <c r="E464" t="s">
        <v>40</v>
      </c>
      <c r="F464">
        <v>14</v>
      </c>
      <c r="G464" s="2">
        <v>804</v>
      </c>
      <c r="H464" s="2">
        <v>11256</v>
      </c>
      <c r="I464" t="s">
        <v>15</v>
      </c>
      <c r="J464" t="s">
        <v>23</v>
      </c>
      <c r="K464" t="str">
        <f>TEXT(Sales_Data[[#This Row],[Order Date]],"yyyy")</f>
        <v>2026</v>
      </c>
      <c r="L464" t="str">
        <f>TEXT(Sales_Data[[#This Row],[Order Date]],"mmmm")</f>
        <v>April</v>
      </c>
      <c r="M464" s="1">
        <v>46126</v>
      </c>
      <c r="N464" s="1">
        <v>31251</v>
      </c>
      <c r="O464">
        <f>DATEDIF(Sales_Data[[#This Row],[Date of Birth]],Sales_Data[[#This Row],[Order Date]],"y")</f>
        <v>40</v>
      </c>
      <c r="P464" t="str" cm="1">
        <f t="array" ref="P464">_xlfn.IFS(Sales_Data[[#This Row],[Age ]]&lt;=30,"Young Adult",Sales_Data[[#This Row],[Age ]]&lt;=45,"Senior",Sales_Data[[#This Row],[Age ]]&lt;=60,"Adult",Sales_Data[[#This Row],[Age ]]&gt;=61,"Elderly")</f>
        <v>Senior</v>
      </c>
    </row>
    <row r="465" spans="1:16" x14ac:dyDescent="0.3">
      <c r="A465" t="s">
        <v>514</v>
      </c>
      <c r="B465" t="s">
        <v>18</v>
      </c>
      <c r="C465" t="s">
        <v>55</v>
      </c>
      <c r="D465" t="s">
        <v>66</v>
      </c>
      <c r="E465" t="s">
        <v>83</v>
      </c>
      <c r="F465">
        <v>8</v>
      </c>
      <c r="G465" s="2">
        <v>13</v>
      </c>
      <c r="H465" s="2">
        <v>104</v>
      </c>
      <c r="I465" t="s">
        <v>15</v>
      </c>
      <c r="J465" t="s">
        <v>34</v>
      </c>
      <c r="K465" t="str">
        <f>TEXT(Sales_Data[[#This Row],[Order Date]],"yyyy")</f>
        <v>2026</v>
      </c>
      <c r="L465" t="str">
        <f>TEXT(Sales_Data[[#This Row],[Order Date]],"mmmm")</f>
        <v>November</v>
      </c>
      <c r="M465" s="1">
        <v>46352</v>
      </c>
      <c r="N465" s="1">
        <v>33920</v>
      </c>
      <c r="O465">
        <f>DATEDIF(Sales_Data[[#This Row],[Date of Birth]],Sales_Data[[#This Row],[Order Date]],"y")</f>
        <v>34</v>
      </c>
      <c r="P465" t="str" cm="1">
        <f t="array" ref="P465">_xlfn.IFS(Sales_Data[[#This Row],[Age ]]&lt;=30,"Young Adult",Sales_Data[[#This Row],[Age ]]&lt;=45,"Senior",Sales_Data[[#This Row],[Age ]]&lt;=60,"Adult",Sales_Data[[#This Row],[Age ]]&gt;=61,"Elderly")</f>
        <v>Senior</v>
      </c>
    </row>
    <row r="466" spans="1:16" x14ac:dyDescent="0.3">
      <c r="A466" t="s">
        <v>515</v>
      </c>
      <c r="B466" t="s">
        <v>25</v>
      </c>
      <c r="C466" t="s">
        <v>26</v>
      </c>
      <c r="D466" t="s">
        <v>13</v>
      </c>
      <c r="E466" t="s">
        <v>40</v>
      </c>
      <c r="F466">
        <v>7</v>
      </c>
      <c r="G466" s="2">
        <v>504</v>
      </c>
      <c r="H466" s="2">
        <v>3528</v>
      </c>
      <c r="I466" t="s">
        <v>22</v>
      </c>
      <c r="J466" t="s">
        <v>23</v>
      </c>
      <c r="K466" t="str">
        <f>TEXT(Sales_Data[[#This Row],[Order Date]],"yyyy")</f>
        <v>2026</v>
      </c>
      <c r="L466" t="str">
        <f>TEXT(Sales_Data[[#This Row],[Order Date]],"mmmm")</f>
        <v>December</v>
      </c>
      <c r="M466" s="1">
        <v>46375</v>
      </c>
      <c r="N466" s="1">
        <v>32967</v>
      </c>
      <c r="O466">
        <f>DATEDIF(Sales_Data[[#This Row],[Date of Birth]],Sales_Data[[#This Row],[Order Date]],"y")</f>
        <v>36</v>
      </c>
      <c r="P466" t="str" cm="1">
        <f t="array" ref="P466">_xlfn.IFS(Sales_Data[[#This Row],[Age ]]&lt;=30,"Young Adult",Sales_Data[[#This Row],[Age ]]&lt;=45,"Senior",Sales_Data[[#This Row],[Age ]]&lt;=60,"Adult",Sales_Data[[#This Row],[Age ]]&gt;=61,"Elderly")</f>
        <v>Senior</v>
      </c>
    </row>
    <row r="467" spans="1:16" x14ac:dyDescent="0.3">
      <c r="A467" t="s">
        <v>516</v>
      </c>
      <c r="B467" t="s">
        <v>29</v>
      </c>
      <c r="C467" t="s">
        <v>55</v>
      </c>
      <c r="D467" t="s">
        <v>30</v>
      </c>
      <c r="E467" t="s">
        <v>57</v>
      </c>
      <c r="F467">
        <v>19</v>
      </c>
      <c r="G467" s="2">
        <v>684</v>
      </c>
      <c r="H467" s="2">
        <v>12996</v>
      </c>
      <c r="I467" t="s">
        <v>22</v>
      </c>
      <c r="J467" t="s">
        <v>34</v>
      </c>
      <c r="K467" t="str">
        <f>TEXT(Sales_Data[[#This Row],[Order Date]],"yyyy")</f>
        <v>2026</v>
      </c>
      <c r="L467" t="str">
        <f>TEXT(Sales_Data[[#This Row],[Order Date]],"mmmm")</f>
        <v>February</v>
      </c>
      <c r="M467" s="1">
        <v>46060</v>
      </c>
      <c r="N467" s="1">
        <v>25381</v>
      </c>
      <c r="O467">
        <f>DATEDIF(Sales_Data[[#This Row],[Date of Birth]],Sales_Data[[#This Row],[Order Date]],"y")</f>
        <v>56</v>
      </c>
      <c r="P467" t="str" cm="1">
        <f t="array" ref="P467">_xlfn.IFS(Sales_Data[[#This Row],[Age ]]&lt;=30,"Young Adult",Sales_Data[[#This Row],[Age ]]&lt;=45,"Senior",Sales_Data[[#This Row],[Age ]]&lt;=60,"Adult",Sales_Data[[#This Row],[Age ]]&gt;=61,"Elderly")</f>
        <v>Adult</v>
      </c>
    </row>
    <row r="468" spans="1:16" x14ac:dyDescent="0.3">
      <c r="A468" t="s">
        <v>517</v>
      </c>
      <c r="B468" t="s">
        <v>29</v>
      </c>
      <c r="C468" t="s">
        <v>42</v>
      </c>
      <c r="D468" t="s">
        <v>66</v>
      </c>
      <c r="E468" t="s">
        <v>92</v>
      </c>
      <c r="F468">
        <v>10</v>
      </c>
      <c r="G468" s="2">
        <v>38</v>
      </c>
      <c r="H468" s="2">
        <v>380</v>
      </c>
      <c r="I468" t="s">
        <v>15</v>
      </c>
      <c r="J468" t="s">
        <v>23</v>
      </c>
      <c r="K468" t="str">
        <f>TEXT(Sales_Data[[#This Row],[Order Date]],"yyyy")</f>
        <v>2026</v>
      </c>
      <c r="L468" t="str">
        <f>TEXT(Sales_Data[[#This Row],[Order Date]],"mmmm")</f>
        <v>October</v>
      </c>
      <c r="M468" s="1">
        <v>46307</v>
      </c>
      <c r="N468" s="1">
        <v>24943</v>
      </c>
      <c r="O468">
        <f>DATEDIF(Sales_Data[[#This Row],[Date of Birth]],Sales_Data[[#This Row],[Order Date]],"y")</f>
        <v>58</v>
      </c>
      <c r="P468" t="str" cm="1">
        <f t="array" ref="P468">_xlfn.IFS(Sales_Data[[#This Row],[Age ]]&lt;=30,"Young Adult",Sales_Data[[#This Row],[Age ]]&lt;=45,"Senior",Sales_Data[[#This Row],[Age ]]&lt;=60,"Adult",Sales_Data[[#This Row],[Age ]]&gt;=61,"Elderly")</f>
        <v>Adult</v>
      </c>
    </row>
    <row r="469" spans="1:16" x14ac:dyDescent="0.3">
      <c r="A469" t="s">
        <v>518</v>
      </c>
      <c r="B469" t="s">
        <v>25</v>
      </c>
      <c r="C469" t="s">
        <v>46</v>
      </c>
      <c r="D469" t="s">
        <v>66</v>
      </c>
      <c r="E469" t="s">
        <v>83</v>
      </c>
      <c r="F469">
        <v>15</v>
      </c>
      <c r="G469" s="2">
        <v>47</v>
      </c>
      <c r="H469" s="2">
        <v>705</v>
      </c>
      <c r="I469" t="s">
        <v>22</v>
      </c>
      <c r="J469" t="s">
        <v>23</v>
      </c>
      <c r="K469" t="str">
        <f>TEXT(Sales_Data[[#This Row],[Order Date]],"yyyy")</f>
        <v>2026</v>
      </c>
      <c r="L469" t="str">
        <f>TEXT(Sales_Data[[#This Row],[Order Date]],"mmmm")</f>
        <v>December</v>
      </c>
      <c r="M469" s="1">
        <v>46377</v>
      </c>
      <c r="N469" s="1">
        <v>32551</v>
      </c>
      <c r="O469">
        <f>DATEDIF(Sales_Data[[#This Row],[Date of Birth]],Sales_Data[[#This Row],[Order Date]],"y")</f>
        <v>37</v>
      </c>
      <c r="P469" t="str" cm="1">
        <f t="array" ref="P469">_xlfn.IFS(Sales_Data[[#This Row],[Age ]]&lt;=30,"Young Adult",Sales_Data[[#This Row],[Age ]]&lt;=45,"Senior",Sales_Data[[#This Row],[Age ]]&lt;=60,"Adult",Sales_Data[[#This Row],[Age ]]&gt;=61,"Elderly")</f>
        <v>Senior</v>
      </c>
    </row>
    <row r="470" spans="1:16" x14ac:dyDescent="0.3">
      <c r="A470" t="s">
        <v>519</v>
      </c>
      <c r="B470" t="s">
        <v>29</v>
      </c>
      <c r="C470" t="s">
        <v>55</v>
      </c>
      <c r="D470" t="s">
        <v>66</v>
      </c>
      <c r="E470" t="s">
        <v>70</v>
      </c>
      <c r="F470">
        <v>30</v>
      </c>
      <c r="G470" s="2">
        <v>30</v>
      </c>
      <c r="H470" s="2">
        <v>900</v>
      </c>
      <c r="I470" t="s">
        <v>15</v>
      </c>
      <c r="J470" t="s">
        <v>23</v>
      </c>
      <c r="K470" t="str">
        <f>TEXT(Sales_Data[[#This Row],[Order Date]],"yyyy")</f>
        <v>2026</v>
      </c>
      <c r="L470" t="str">
        <f>TEXT(Sales_Data[[#This Row],[Order Date]],"mmmm")</f>
        <v>June</v>
      </c>
      <c r="M470" s="1">
        <v>46198</v>
      </c>
      <c r="N470" s="1">
        <v>27235</v>
      </c>
      <c r="O470">
        <f>DATEDIF(Sales_Data[[#This Row],[Date of Birth]],Sales_Data[[#This Row],[Order Date]],"y")</f>
        <v>51</v>
      </c>
      <c r="P470" t="str" cm="1">
        <f t="array" ref="P470">_xlfn.IFS(Sales_Data[[#This Row],[Age ]]&lt;=30,"Young Adult",Sales_Data[[#This Row],[Age ]]&lt;=45,"Senior",Sales_Data[[#This Row],[Age ]]&lt;=60,"Adult",Sales_Data[[#This Row],[Age ]]&gt;=61,"Elderly")</f>
        <v>Adult</v>
      </c>
    </row>
    <row r="471" spans="1:16" x14ac:dyDescent="0.3">
      <c r="A471" t="s">
        <v>520</v>
      </c>
      <c r="B471" t="s">
        <v>18</v>
      </c>
      <c r="C471" t="s">
        <v>12</v>
      </c>
      <c r="D471" t="s">
        <v>13</v>
      </c>
      <c r="E471" t="s">
        <v>40</v>
      </c>
      <c r="F471">
        <v>9</v>
      </c>
      <c r="G471" s="2">
        <v>502</v>
      </c>
      <c r="H471" s="2">
        <v>4518</v>
      </c>
      <c r="I471" t="s">
        <v>15</v>
      </c>
      <c r="J471" t="s">
        <v>16</v>
      </c>
      <c r="K471" t="str">
        <f>TEXT(Sales_Data[[#This Row],[Order Date]],"yyyy")</f>
        <v>2026</v>
      </c>
      <c r="L471" t="str">
        <f>TEXT(Sales_Data[[#This Row],[Order Date]],"mmmm")</f>
        <v>May</v>
      </c>
      <c r="M471" s="1">
        <v>46166</v>
      </c>
      <c r="N471" s="1">
        <v>32031</v>
      </c>
      <c r="O471">
        <f>DATEDIF(Sales_Data[[#This Row],[Date of Birth]],Sales_Data[[#This Row],[Order Date]],"y")</f>
        <v>38</v>
      </c>
      <c r="P471" t="str" cm="1">
        <f t="array" ref="P471">_xlfn.IFS(Sales_Data[[#This Row],[Age ]]&lt;=30,"Young Adult",Sales_Data[[#This Row],[Age ]]&lt;=45,"Senior",Sales_Data[[#This Row],[Age ]]&lt;=60,"Adult",Sales_Data[[#This Row],[Age ]]&gt;=61,"Elderly")</f>
        <v>Senior</v>
      </c>
    </row>
    <row r="472" spans="1:16" x14ac:dyDescent="0.3">
      <c r="A472" t="s">
        <v>521</v>
      </c>
      <c r="B472" t="s">
        <v>18</v>
      </c>
      <c r="C472" t="s">
        <v>46</v>
      </c>
      <c r="D472" t="s">
        <v>13</v>
      </c>
      <c r="E472" t="s">
        <v>49</v>
      </c>
      <c r="F472">
        <v>38</v>
      </c>
      <c r="G472" s="2">
        <v>929</v>
      </c>
      <c r="H472" s="2">
        <v>35302</v>
      </c>
      <c r="I472" t="s">
        <v>22</v>
      </c>
      <c r="J472" t="s">
        <v>16</v>
      </c>
      <c r="K472" t="str">
        <f>TEXT(Sales_Data[[#This Row],[Order Date]],"yyyy")</f>
        <v>2026</v>
      </c>
      <c r="L472" t="str">
        <f>TEXT(Sales_Data[[#This Row],[Order Date]],"mmmm")</f>
        <v>October</v>
      </c>
      <c r="M472" s="1">
        <v>46302</v>
      </c>
      <c r="N472" s="1">
        <v>28088</v>
      </c>
      <c r="O472">
        <f>DATEDIF(Sales_Data[[#This Row],[Date of Birth]],Sales_Data[[#This Row],[Order Date]],"y")</f>
        <v>49</v>
      </c>
      <c r="P472" t="str" cm="1">
        <f t="array" ref="P472">_xlfn.IFS(Sales_Data[[#This Row],[Age ]]&lt;=30,"Young Adult",Sales_Data[[#This Row],[Age ]]&lt;=45,"Senior",Sales_Data[[#This Row],[Age ]]&lt;=60,"Adult",Sales_Data[[#This Row],[Age ]]&gt;=61,"Elderly")</f>
        <v>Adult</v>
      </c>
    </row>
    <row r="473" spans="1:16" x14ac:dyDescent="0.3">
      <c r="A473" t="s">
        <v>522</v>
      </c>
      <c r="B473" t="s">
        <v>29</v>
      </c>
      <c r="C473" t="s">
        <v>65</v>
      </c>
      <c r="D473" t="s">
        <v>30</v>
      </c>
      <c r="E473" t="s">
        <v>31</v>
      </c>
      <c r="F473">
        <v>26</v>
      </c>
      <c r="G473" s="2">
        <v>278</v>
      </c>
      <c r="H473" s="2">
        <v>7228</v>
      </c>
      <c r="I473" t="s">
        <v>22</v>
      </c>
      <c r="J473" t="s">
        <v>16</v>
      </c>
      <c r="K473" t="str">
        <f>TEXT(Sales_Data[[#This Row],[Order Date]],"yyyy")</f>
        <v>2026</v>
      </c>
      <c r="L473" t="str">
        <f>TEXT(Sales_Data[[#This Row],[Order Date]],"mmmm")</f>
        <v>October</v>
      </c>
      <c r="M473" s="1">
        <v>46319</v>
      </c>
      <c r="N473" s="1">
        <v>25913</v>
      </c>
      <c r="O473">
        <f>DATEDIF(Sales_Data[[#This Row],[Date of Birth]],Sales_Data[[#This Row],[Order Date]],"y")</f>
        <v>55</v>
      </c>
      <c r="P473" t="str" cm="1">
        <f t="array" ref="P473">_xlfn.IFS(Sales_Data[[#This Row],[Age ]]&lt;=30,"Young Adult",Sales_Data[[#This Row],[Age ]]&lt;=45,"Senior",Sales_Data[[#This Row],[Age ]]&lt;=60,"Adult",Sales_Data[[#This Row],[Age ]]&gt;=61,"Elderly")</f>
        <v>Adult</v>
      </c>
    </row>
    <row r="474" spans="1:16" x14ac:dyDescent="0.3">
      <c r="A474" t="s">
        <v>523</v>
      </c>
      <c r="B474" t="s">
        <v>11</v>
      </c>
      <c r="C474" t="s">
        <v>65</v>
      </c>
      <c r="D474" t="s">
        <v>13</v>
      </c>
      <c r="E474" t="s">
        <v>63</v>
      </c>
      <c r="F474">
        <v>24</v>
      </c>
      <c r="G474" s="2">
        <v>1128</v>
      </c>
      <c r="H474" s="2">
        <v>27072</v>
      </c>
      <c r="I474" t="s">
        <v>15</v>
      </c>
      <c r="J474" t="s">
        <v>34</v>
      </c>
      <c r="K474" t="str">
        <f>TEXT(Sales_Data[[#This Row],[Order Date]],"yyyy")</f>
        <v>2026</v>
      </c>
      <c r="L474" t="str">
        <f>TEXT(Sales_Data[[#This Row],[Order Date]],"mmmm")</f>
        <v>January</v>
      </c>
      <c r="M474" s="1">
        <v>46044</v>
      </c>
      <c r="N474" s="1">
        <v>29461</v>
      </c>
      <c r="O474">
        <f>DATEDIF(Sales_Data[[#This Row],[Date of Birth]],Sales_Data[[#This Row],[Order Date]],"y")</f>
        <v>45</v>
      </c>
      <c r="P474" t="str" cm="1">
        <f t="array" ref="P474">_xlfn.IFS(Sales_Data[[#This Row],[Age ]]&lt;=30,"Young Adult",Sales_Data[[#This Row],[Age ]]&lt;=45,"Senior",Sales_Data[[#This Row],[Age ]]&lt;=60,"Adult",Sales_Data[[#This Row],[Age ]]&gt;=61,"Elderly")</f>
        <v>Senior</v>
      </c>
    </row>
    <row r="475" spans="1:16" x14ac:dyDescent="0.3">
      <c r="A475" t="s">
        <v>524</v>
      </c>
      <c r="B475" t="s">
        <v>11</v>
      </c>
      <c r="C475" t="s">
        <v>55</v>
      </c>
      <c r="D475" t="s">
        <v>30</v>
      </c>
      <c r="E475" t="s">
        <v>38</v>
      </c>
      <c r="F475">
        <v>37</v>
      </c>
      <c r="G475" s="2">
        <v>629</v>
      </c>
      <c r="H475" s="2">
        <v>23273</v>
      </c>
      <c r="I475" t="s">
        <v>22</v>
      </c>
      <c r="J475" t="s">
        <v>23</v>
      </c>
      <c r="K475" t="str">
        <f>TEXT(Sales_Data[[#This Row],[Order Date]],"yyyy")</f>
        <v>2026</v>
      </c>
      <c r="L475" t="str">
        <f>TEXT(Sales_Data[[#This Row],[Order Date]],"mmmm")</f>
        <v>November</v>
      </c>
      <c r="M475" s="1">
        <v>46354</v>
      </c>
      <c r="N475" s="1">
        <v>38175</v>
      </c>
      <c r="O475">
        <f>DATEDIF(Sales_Data[[#This Row],[Date of Birth]],Sales_Data[[#This Row],[Order Date]],"y")</f>
        <v>22</v>
      </c>
      <c r="P475" t="str" cm="1">
        <f t="array" ref="P475">_xlfn.IFS(Sales_Data[[#This Row],[Age ]]&lt;=30,"Young Adult",Sales_Data[[#This Row],[Age ]]&lt;=45,"Senior",Sales_Data[[#This Row],[Age ]]&lt;=60,"Adult",Sales_Data[[#This Row],[Age ]]&gt;=61,"Elderly")</f>
        <v>Young Adult</v>
      </c>
    </row>
    <row r="476" spans="1:16" x14ac:dyDescent="0.3">
      <c r="A476" t="s">
        <v>525</v>
      </c>
      <c r="B476" t="s">
        <v>11</v>
      </c>
      <c r="C476" t="s">
        <v>69</v>
      </c>
      <c r="D476" t="s">
        <v>30</v>
      </c>
      <c r="E476" t="s">
        <v>47</v>
      </c>
      <c r="F476">
        <v>15</v>
      </c>
      <c r="G476" s="2">
        <v>114</v>
      </c>
      <c r="H476" s="2">
        <v>1710</v>
      </c>
      <c r="I476" t="s">
        <v>15</v>
      </c>
      <c r="J476" t="s">
        <v>16</v>
      </c>
      <c r="K476" t="str">
        <f>TEXT(Sales_Data[[#This Row],[Order Date]],"yyyy")</f>
        <v>2026</v>
      </c>
      <c r="L476" t="str">
        <f>TEXT(Sales_Data[[#This Row],[Order Date]],"mmmm")</f>
        <v>May</v>
      </c>
      <c r="M476" s="1">
        <v>46154</v>
      </c>
      <c r="N476" s="1">
        <v>24870</v>
      </c>
      <c r="O476">
        <f>DATEDIF(Sales_Data[[#This Row],[Date of Birth]],Sales_Data[[#This Row],[Order Date]],"y")</f>
        <v>58</v>
      </c>
      <c r="P476" t="str" cm="1">
        <f t="array" ref="P476">_xlfn.IFS(Sales_Data[[#This Row],[Age ]]&lt;=30,"Young Adult",Sales_Data[[#This Row],[Age ]]&lt;=45,"Senior",Sales_Data[[#This Row],[Age ]]&lt;=60,"Adult",Sales_Data[[#This Row],[Age ]]&gt;=61,"Elderly")</f>
        <v>Adult</v>
      </c>
    </row>
    <row r="477" spans="1:16" x14ac:dyDescent="0.3">
      <c r="A477" t="s">
        <v>526</v>
      </c>
      <c r="B477" t="s">
        <v>29</v>
      </c>
      <c r="C477" t="s">
        <v>12</v>
      </c>
      <c r="D477" t="s">
        <v>66</v>
      </c>
      <c r="E477" t="s">
        <v>70</v>
      </c>
      <c r="F477">
        <v>31</v>
      </c>
      <c r="G477" s="2">
        <v>31</v>
      </c>
      <c r="H477" s="2">
        <v>961</v>
      </c>
      <c r="I477" t="s">
        <v>22</v>
      </c>
      <c r="J477" t="s">
        <v>16</v>
      </c>
      <c r="K477" t="str">
        <f>TEXT(Sales_Data[[#This Row],[Order Date]],"yyyy")</f>
        <v>2026</v>
      </c>
      <c r="L477" t="str">
        <f>TEXT(Sales_Data[[#This Row],[Order Date]],"mmmm")</f>
        <v>January</v>
      </c>
      <c r="M477" s="1">
        <v>46024</v>
      </c>
      <c r="N477" s="1">
        <v>38148</v>
      </c>
      <c r="O477">
        <f>DATEDIF(Sales_Data[[#This Row],[Date of Birth]],Sales_Data[[#This Row],[Order Date]],"y")</f>
        <v>21</v>
      </c>
      <c r="P477" t="str" cm="1">
        <f t="array" ref="P477">_xlfn.IFS(Sales_Data[[#This Row],[Age ]]&lt;=30,"Young Adult",Sales_Data[[#This Row],[Age ]]&lt;=45,"Senior",Sales_Data[[#This Row],[Age ]]&lt;=60,"Adult",Sales_Data[[#This Row],[Age ]]&gt;=61,"Elderly")</f>
        <v>Young Adult</v>
      </c>
    </row>
    <row r="478" spans="1:16" x14ac:dyDescent="0.3">
      <c r="A478" t="s">
        <v>527</v>
      </c>
      <c r="B478" t="s">
        <v>25</v>
      </c>
      <c r="C478" t="s">
        <v>26</v>
      </c>
      <c r="D478" t="s">
        <v>66</v>
      </c>
      <c r="E478" t="s">
        <v>92</v>
      </c>
      <c r="F478">
        <v>35</v>
      </c>
      <c r="G478" s="2">
        <v>38</v>
      </c>
      <c r="H478" s="2">
        <v>1330</v>
      </c>
      <c r="I478" t="s">
        <v>15</v>
      </c>
      <c r="J478" t="s">
        <v>16</v>
      </c>
      <c r="K478" t="str">
        <f>TEXT(Sales_Data[[#This Row],[Order Date]],"yyyy")</f>
        <v>2026</v>
      </c>
      <c r="L478" t="str">
        <f>TEXT(Sales_Data[[#This Row],[Order Date]],"mmmm")</f>
        <v>March</v>
      </c>
      <c r="M478" s="1">
        <v>46094</v>
      </c>
      <c r="N478" s="1">
        <v>27745</v>
      </c>
      <c r="O478">
        <f>DATEDIF(Sales_Data[[#This Row],[Date of Birth]],Sales_Data[[#This Row],[Order Date]],"y")</f>
        <v>50</v>
      </c>
      <c r="P478" t="str" cm="1">
        <f t="array" ref="P478">_xlfn.IFS(Sales_Data[[#This Row],[Age ]]&lt;=30,"Young Adult",Sales_Data[[#This Row],[Age ]]&lt;=45,"Senior",Sales_Data[[#This Row],[Age ]]&lt;=60,"Adult",Sales_Data[[#This Row],[Age ]]&gt;=61,"Elderly")</f>
        <v>Adult</v>
      </c>
    </row>
    <row r="479" spans="1:16" x14ac:dyDescent="0.3">
      <c r="A479" t="s">
        <v>528</v>
      </c>
      <c r="B479" t="s">
        <v>29</v>
      </c>
      <c r="C479" t="s">
        <v>55</v>
      </c>
      <c r="D479" t="s">
        <v>66</v>
      </c>
      <c r="E479" t="s">
        <v>70</v>
      </c>
      <c r="F479">
        <v>15</v>
      </c>
      <c r="G479" s="2">
        <v>35</v>
      </c>
      <c r="H479" s="2">
        <v>525</v>
      </c>
      <c r="I479" t="s">
        <v>22</v>
      </c>
      <c r="J479" t="s">
        <v>16</v>
      </c>
      <c r="K479" t="str">
        <f>TEXT(Sales_Data[[#This Row],[Order Date]],"yyyy")</f>
        <v>2026</v>
      </c>
      <c r="L479" t="str">
        <f>TEXT(Sales_Data[[#This Row],[Order Date]],"mmmm")</f>
        <v>July</v>
      </c>
      <c r="M479" s="1">
        <v>46215</v>
      </c>
      <c r="N479" s="1">
        <v>29797</v>
      </c>
      <c r="O479">
        <f>DATEDIF(Sales_Data[[#This Row],[Date of Birth]],Sales_Data[[#This Row],[Order Date]],"y")</f>
        <v>44</v>
      </c>
      <c r="P479" t="str" cm="1">
        <f t="array" ref="P479">_xlfn.IFS(Sales_Data[[#This Row],[Age ]]&lt;=30,"Young Adult",Sales_Data[[#This Row],[Age ]]&lt;=45,"Senior",Sales_Data[[#This Row],[Age ]]&lt;=60,"Adult",Sales_Data[[#This Row],[Age ]]&gt;=61,"Elderly")</f>
        <v>Senior</v>
      </c>
    </row>
    <row r="480" spans="1:16" x14ac:dyDescent="0.3">
      <c r="A480" t="s">
        <v>529</v>
      </c>
      <c r="B480" t="s">
        <v>18</v>
      </c>
      <c r="C480" t="s">
        <v>46</v>
      </c>
      <c r="D480" t="s">
        <v>13</v>
      </c>
      <c r="E480" t="s">
        <v>49</v>
      </c>
      <c r="F480">
        <v>9</v>
      </c>
      <c r="G480" s="2">
        <v>1000</v>
      </c>
      <c r="H480" s="2">
        <v>9000</v>
      </c>
      <c r="I480" t="s">
        <v>15</v>
      </c>
      <c r="J480" t="s">
        <v>23</v>
      </c>
      <c r="K480" t="str">
        <f>TEXT(Sales_Data[[#This Row],[Order Date]],"yyyy")</f>
        <v>2026</v>
      </c>
      <c r="L480" t="str">
        <f>TEXT(Sales_Data[[#This Row],[Order Date]],"mmmm")</f>
        <v>March</v>
      </c>
      <c r="M480" s="1">
        <v>46089</v>
      </c>
      <c r="N480" s="1">
        <v>28412</v>
      </c>
      <c r="O480">
        <f>DATEDIF(Sales_Data[[#This Row],[Date of Birth]],Sales_Data[[#This Row],[Order Date]],"y")</f>
        <v>48</v>
      </c>
      <c r="P480" t="str" cm="1">
        <f t="array" ref="P480">_xlfn.IFS(Sales_Data[[#This Row],[Age ]]&lt;=30,"Young Adult",Sales_Data[[#This Row],[Age ]]&lt;=45,"Senior",Sales_Data[[#This Row],[Age ]]&lt;=60,"Adult",Sales_Data[[#This Row],[Age ]]&gt;=61,"Elderly")</f>
        <v>Adult</v>
      </c>
    </row>
    <row r="481" spans="1:16" x14ac:dyDescent="0.3">
      <c r="A481" t="s">
        <v>530</v>
      </c>
      <c r="B481" t="s">
        <v>18</v>
      </c>
      <c r="C481" t="s">
        <v>19</v>
      </c>
      <c r="D481" t="s">
        <v>30</v>
      </c>
      <c r="E481" t="s">
        <v>38</v>
      </c>
      <c r="F481">
        <v>24</v>
      </c>
      <c r="G481" s="2">
        <v>666</v>
      </c>
      <c r="H481" s="2">
        <v>15984</v>
      </c>
      <c r="I481" t="s">
        <v>22</v>
      </c>
      <c r="J481" t="s">
        <v>34</v>
      </c>
      <c r="K481" t="str">
        <f>TEXT(Sales_Data[[#This Row],[Order Date]],"yyyy")</f>
        <v>2026</v>
      </c>
      <c r="L481" t="str">
        <f>TEXT(Sales_Data[[#This Row],[Order Date]],"mmmm")</f>
        <v>December</v>
      </c>
      <c r="M481" s="1">
        <v>46383</v>
      </c>
      <c r="N481" s="1">
        <v>26327</v>
      </c>
      <c r="O481">
        <f>DATEDIF(Sales_Data[[#This Row],[Date of Birth]],Sales_Data[[#This Row],[Order Date]],"y")</f>
        <v>54</v>
      </c>
      <c r="P481" t="str" cm="1">
        <f t="array" ref="P481">_xlfn.IFS(Sales_Data[[#This Row],[Age ]]&lt;=30,"Young Adult",Sales_Data[[#This Row],[Age ]]&lt;=45,"Senior",Sales_Data[[#This Row],[Age ]]&lt;=60,"Adult",Sales_Data[[#This Row],[Age ]]&gt;=61,"Elderly")</f>
        <v>Adult</v>
      </c>
    </row>
    <row r="482" spans="1:16" x14ac:dyDescent="0.3">
      <c r="A482" t="s">
        <v>531</v>
      </c>
      <c r="B482" t="s">
        <v>11</v>
      </c>
      <c r="C482" t="s">
        <v>42</v>
      </c>
      <c r="D482" t="s">
        <v>13</v>
      </c>
      <c r="E482" t="s">
        <v>63</v>
      </c>
      <c r="F482">
        <v>44</v>
      </c>
      <c r="G482" s="2">
        <v>1080</v>
      </c>
      <c r="H482" s="2">
        <v>47520</v>
      </c>
      <c r="I482" t="s">
        <v>15</v>
      </c>
      <c r="J482" t="s">
        <v>23</v>
      </c>
      <c r="K482" t="str">
        <f>TEXT(Sales_Data[[#This Row],[Order Date]],"yyyy")</f>
        <v>2026</v>
      </c>
      <c r="L482" t="str">
        <f>TEXT(Sales_Data[[#This Row],[Order Date]],"mmmm")</f>
        <v>August</v>
      </c>
      <c r="M482" s="1">
        <v>46241</v>
      </c>
      <c r="N482" s="1">
        <v>30922</v>
      </c>
      <c r="O482">
        <f>DATEDIF(Sales_Data[[#This Row],[Date of Birth]],Sales_Data[[#This Row],[Order Date]],"y")</f>
        <v>41</v>
      </c>
      <c r="P482" t="str" cm="1">
        <f t="array" ref="P482">_xlfn.IFS(Sales_Data[[#This Row],[Age ]]&lt;=30,"Young Adult",Sales_Data[[#This Row],[Age ]]&lt;=45,"Senior",Sales_Data[[#This Row],[Age ]]&lt;=60,"Adult",Sales_Data[[#This Row],[Age ]]&gt;=61,"Elderly")</f>
        <v>Senior</v>
      </c>
    </row>
    <row r="483" spans="1:16" x14ac:dyDescent="0.3">
      <c r="A483" t="s">
        <v>532</v>
      </c>
      <c r="B483" t="s">
        <v>18</v>
      </c>
      <c r="C483" t="s">
        <v>65</v>
      </c>
      <c r="D483" t="s">
        <v>13</v>
      </c>
      <c r="E483" t="s">
        <v>59</v>
      </c>
      <c r="F483">
        <v>37</v>
      </c>
      <c r="G483" s="2">
        <v>429</v>
      </c>
      <c r="H483" s="2">
        <v>15873</v>
      </c>
      <c r="I483" t="s">
        <v>15</v>
      </c>
      <c r="J483" t="s">
        <v>23</v>
      </c>
      <c r="K483" t="str">
        <f>TEXT(Sales_Data[[#This Row],[Order Date]],"yyyy")</f>
        <v>2026</v>
      </c>
      <c r="L483" t="str">
        <f>TEXT(Sales_Data[[#This Row],[Order Date]],"mmmm")</f>
        <v>March</v>
      </c>
      <c r="M483" s="1">
        <v>46102</v>
      </c>
      <c r="N483" s="1">
        <v>37403</v>
      </c>
      <c r="O483">
        <f>DATEDIF(Sales_Data[[#This Row],[Date of Birth]],Sales_Data[[#This Row],[Order Date]],"y")</f>
        <v>23</v>
      </c>
      <c r="P483" t="str" cm="1">
        <f t="array" ref="P483">_xlfn.IFS(Sales_Data[[#This Row],[Age ]]&lt;=30,"Young Adult",Sales_Data[[#This Row],[Age ]]&lt;=45,"Senior",Sales_Data[[#This Row],[Age ]]&lt;=60,"Adult",Sales_Data[[#This Row],[Age ]]&gt;=61,"Elderly")</f>
        <v>Young Adult</v>
      </c>
    </row>
    <row r="484" spans="1:16" x14ac:dyDescent="0.3">
      <c r="A484" t="s">
        <v>533</v>
      </c>
      <c r="B484" t="s">
        <v>18</v>
      </c>
      <c r="C484" t="s">
        <v>46</v>
      </c>
      <c r="D484" t="s">
        <v>66</v>
      </c>
      <c r="E484" t="s">
        <v>83</v>
      </c>
      <c r="F484">
        <v>34</v>
      </c>
      <c r="G484" s="2">
        <v>27</v>
      </c>
      <c r="H484" s="2">
        <v>918</v>
      </c>
      <c r="I484" t="s">
        <v>15</v>
      </c>
      <c r="J484" t="s">
        <v>23</v>
      </c>
      <c r="K484" t="str">
        <f>TEXT(Sales_Data[[#This Row],[Order Date]],"yyyy")</f>
        <v>2026</v>
      </c>
      <c r="L484" t="str">
        <f>TEXT(Sales_Data[[#This Row],[Order Date]],"mmmm")</f>
        <v>October</v>
      </c>
      <c r="M484" s="1">
        <v>46314</v>
      </c>
      <c r="N484" s="1">
        <v>32643</v>
      </c>
      <c r="O484">
        <f>DATEDIF(Sales_Data[[#This Row],[Date of Birth]],Sales_Data[[#This Row],[Order Date]],"y")</f>
        <v>37</v>
      </c>
      <c r="P484" t="str" cm="1">
        <f t="array" ref="P484">_xlfn.IFS(Sales_Data[[#This Row],[Age ]]&lt;=30,"Young Adult",Sales_Data[[#This Row],[Age ]]&lt;=45,"Senior",Sales_Data[[#This Row],[Age ]]&lt;=60,"Adult",Sales_Data[[#This Row],[Age ]]&gt;=61,"Elderly")</f>
        <v>Senior</v>
      </c>
    </row>
    <row r="485" spans="1:16" x14ac:dyDescent="0.3">
      <c r="A485" t="s">
        <v>534</v>
      </c>
      <c r="B485" t="s">
        <v>25</v>
      </c>
      <c r="C485" t="s">
        <v>65</v>
      </c>
      <c r="D485" t="s">
        <v>20</v>
      </c>
      <c r="E485" t="s">
        <v>27</v>
      </c>
      <c r="F485">
        <v>31</v>
      </c>
      <c r="G485" s="2">
        <v>1066</v>
      </c>
      <c r="H485" s="2">
        <v>33046</v>
      </c>
      <c r="I485" t="s">
        <v>15</v>
      </c>
      <c r="J485" t="s">
        <v>16</v>
      </c>
      <c r="K485" t="str">
        <f>TEXT(Sales_Data[[#This Row],[Order Date]],"yyyy")</f>
        <v>2026</v>
      </c>
      <c r="L485" t="str">
        <f>TEXT(Sales_Data[[#This Row],[Order Date]],"mmmm")</f>
        <v>March</v>
      </c>
      <c r="M485" s="1">
        <v>46089</v>
      </c>
      <c r="N485" s="1">
        <v>35269</v>
      </c>
      <c r="O485">
        <f>DATEDIF(Sales_Data[[#This Row],[Date of Birth]],Sales_Data[[#This Row],[Order Date]],"y")</f>
        <v>29</v>
      </c>
      <c r="P485" t="str" cm="1">
        <f t="array" ref="P485">_xlfn.IFS(Sales_Data[[#This Row],[Age ]]&lt;=30,"Young Adult",Sales_Data[[#This Row],[Age ]]&lt;=45,"Senior",Sales_Data[[#This Row],[Age ]]&lt;=60,"Adult",Sales_Data[[#This Row],[Age ]]&gt;=61,"Elderly")</f>
        <v>Young Adult</v>
      </c>
    </row>
    <row r="486" spans="1:16" x14ac:dyDescent="0.3">
      <c r="A486" t="s">
        <v>535</v>
      </c>
      <c r="B486" t="s">
        <v>18</v>
      </c>
      <c r="C486" t="s">
        <v>19</v>
      </c>
      <c r="D486" t="s">
        <v>66</v>
      </c>
      <c r="E486" t="s">
        <v>83</v>
      </c>
      <c r="F486">
        <v>47</v>
      </c>
      <c r="G486" s="2">
        <v>45</v>
      </c>
      <c r="H486" s="2">
        <v>2115</v>
      </c>
      <c r="I486" t="s">
        <v>22</v>
      </c>
      <c r="J486" t="s">
        <v>34</v>
      </c>
      <c r="K486" t="str">
        <f>TEXT(Sales_Data[[#This Row],[Order Date]],"yyyy")</f>
        <v>2026</v>
      </c>
      <c r="L486" t="str">
        <f>TEXT(Sales_Data[[#This Row],[Order Date]],"mmmm")</f>
        <v>June</v>
      </c>
      <c r="M486" s="1">
        <v>46188</v>
      </c>
      <c r="N486" s="1">
        <v>28699</v>
      </c>
      <c r="O486">
        <f>DATEDIF(Sales_Data[[#This Row],[Date of Birth]],Sales_Data[[#This Row],[Order Date]],"y")</f>
        <v>47</v>
      </c>
      <c r="P486" t="str" cm="1">
        <f t="array" ref="P486">_xlfn.IFS(Sales_Data[[#This Row],[Age ]]&lt;=30,"Young Adult",Sales_Data[[#This Row],[Age ]]&lt;=45,"Senior",Sales_Data[[#This Row],[Age ]]&lt;=60,"Adult",Sales_Data[[#This Row],[Age ]]&gt;=61,"Elderly")</f>
        <v>Adult</v>
      </c>
    </row>
    <row r="487" spans="1:16" x14ac:dyDescent="0.3">
      <c r="A487" t="s">
        <v>536</v>
      </c>
      <c r="B487" t="s">
        <v>25</v>
      </c>
      <c r="C487" t="s">
        <v>65</v>
      </c>
      <c r="D487" t="s">
        <v>30</v>
      </c>
      <c r="E487" t="s">
        <v>57</v>
      </c>
      <c r="F487">
        <v>2</v>
      </c>
      <c r="G487" s="2">
        <v>257</v>
      </c>
      <c r="H487" s="2">
        <v>514</v>
      </c>
      <c r="I487" t="s">
        <v>15</v>
      </c>
      <c r="J487" t="s">
        <v>23</v>
      </c>
      <c r="K487" t="str">
        <f>TEXT(Sales_Data[[#This Row],[Order Date]],"yyyy")</f>
        <v>2026</v>
      </c>
      <c r="L487" t="str">
        <f>TEXT(Sales_Data[[#This Row],[Order Date]],"mmmm")</f>
        <v>September</v>
      </c>
      <c r="M487" s="1">
        <v>46293</v>
      </c>
      <c r="N487" s="1">
        <v>33764</v>
      </c>
      <c r="O487">
        <f>DATEDIF(Sales_Data[[#This Row],[Date of Birth]],Sales_Data[[#This Row],[Order Date]],"y")</f>
        <v>34</v>
      </c>
      <c r="P487" t="str" cm="1">
        <f t="array" ref="P487">_xlfn.IFS(Sales_Data[[#This Row],[Age ]]&lt;=30,"Young Adult",Sales_Data[[#This Row],[Age ]]&lt;=45,"Senior",Sales_Data[[#This Row],[Age ]]&lt;=60,"Adult",Sales_Data[[#This Row],[Age ]]&gt;=61,"Elderly")</f>
        <v>Senior</v>
      </c>
    </row>
    <row r="488" spans="1:16" x14ac:dyDescent="0.3">
      <c r="A488" t="s">
        <v>537</v>
      </c>
      <c r="B488" t="s">
        <v>18</v>
      </c>
      <c r="C488" t="s">
        <v>12</v>
      </c>
      <c r="D488" t="s">
        <v>20</v>
      </c>
      <c r="E488" t="s">
        <v>27</v>
      </c>
      <c r="F488">
        <v>39</v>
      </c>
      <c r="G488" s="2">
        <v>159</v>
      </c>
      <c r="H488" s="2">
        <v>6201</v>
      </c>
      <c r="I488" t="s">
        <v>22</v>
      </c>
      <c r="J488" t="s">
        <v>16</v>
      </c>
      <c r="K488" t="str">
        <f>TEXT(Sales_Data[[#This Row],[Order Date]],"yyyy")</f>
        <v>2026</v>
      </c>
      <c r="L488" t="str">
        <f>TEXT(Sales_Data[[#This Row],[Order Date]],"mmmm")</f>
        <v>September</v>
      </c>
      <c r="M488" s="1">
        <v>46282</v>
      </c>
      <c r="N488" s="1">
        <v>36966</v>
      </c>
      <c r="O488">
        <f>DATEDIF(Sales_Data[[#This Row],[Date of Birth]],Sales_Data[[#This Row],[Order Date]],"y")</f>
        <v>25</v>
      </c>
      <c r="P488" t="str" cm="1">
        <f t="array" ref="P488">_xlfn.IFS(Sales_Data[[#This Row],[Age ]]&lt;=30,"Young Adult",Sales_Data[[#This Row],[Age ]]&lt;=45,"Senior",Sales_Data[[#This Row],[Age ]]&lt;=60,"Adult",Sales_Data[[#This Row],[Age ]]&gt;=61,"Elderly")</f>
        <v>Young Adult</v>
      </c>
    </row>
    <row r="489" spans="1:16" x14ac:dyDescent="0.3">
      <c r="A489" t="s">
        <v>538</v>
      </c>
      <c r="B489" t="s">
        <v>25</v>
      </c>
      <c r="C489" t="s">
        <v>42</v>
      </c>
      <c r="D489" t="s">
        <v>30</v>
      </c>
      <c r="E489" t="s">
        <v>61</v>
      </c>
      <c r="F489">
        <v>35</v>
      </c>
      <c r="G489" s="2">
        <v>51</v>
      </c>
      <c r="H489" s="2">
        <v>1785</v>
      </c>
      <c r="I489" t="s">
        <v>22</v>
      </c>
      <c r="J489" t="s">
        <v>23</v>
      </c>
      <c r="K489" t="str">
        <f>TEXT(Sales_Data[[#This Row],[Order Date]],"yyyy")</f>
        <v>2026</v>
      </c>
      <c r="L489" t="str">
        <f>TEXT(Sales_Data[[#This Row],[Order Date]],"mmmm")</f>
        <v>November</v>
      </c>
      <c r="M489" s="1">
        <v>46347</v>
      </c>
      <c r="N489" s="1">
        <v>34457</v>
      </c>
      <c r="O489">
        <f>DATEDIF(Sales_Data[[#This Row],[Date of Birth]],Sales_Data[[#This Row],[Order Date]],"y")</f>
        <v>32</v>
      </c>
      <c r="P489" t="str" cm="1">
        <f t="array" ref="P489">_xlfn.IFS(Sales_Data[[#This Row],[Age ]]&lt;=30,"Young Adult",Sales_Data[[#This Row],[Age ]]&lt;=45,"Senior",Sales_Data[[#This Row],[Age ]]&lt;=60,"Adult",Sales_Data[[#This Row],[Age ]]&gt;=61,"Elderly")</f>
        <v>Senior</v>
      </c>
    </row>
    <row r="490" spans="1:16" x14ac:dyDescent="0.3">
      <c r="A490" t="s">
        <v>539</v>
      </c>
      <c r="B490" t="s">
        <v>18</v>
      </c>
      <c r="C490" t="s">
        <v>42</v>
      </c>
      <c r="D490" t="s">
        <v>20</v>
      </c>
      <c r="E490" t="s">
        <v>43</v>
      </c>
      <c r="F490">
        <v>31</v>
      </c>
      <c r="G490" s="2">
        <v>860</v>
      </c>
      <c r="H490" s="2">
        <v>26660</v>
      </c>
      <c r="I490" t="s">
        <v>15</v>
      </c>
      <c r="J490" t="s">
        <v>34</v>
      </c>
      <c r="K490" t="str">
        <f>TEXT(Sales_Data[[#This Row],[Order Date]],"yyyy")</f>
        <v>2026</v>
      </c>
      <c r="L490" t="str">
        <f>TEXT(Sales_Data[[#This Row],[Order Date]],"mmmm")</f>
        <v>June</v>
      </c>
      <c r="M490" s="1">
        <v>46192</v>
      </c>
      <c r="N490" s="1">
        <v>32409</v>
      </c>
      <c r="O490">
        <f>DATEDIF(Sales_Data[[#This Row],[Date of Birth]],Sales_Data[[#This Row],[Order Date]],"y")</f>
        <v>37</v>
      </c>
      <c r="P490" t="str" cm="1">
        <f t="array" ref="P490">_xlfn.IFS(Sales_Data[[#This Row],[Age ]]&lt;=30,"Young Adult",Sales_Data[[#This Row],[Age ]]&lt;=45,"Senior",Sales_Data[[#This Row],[Age ]]&lt;=60,"Adult",Sales_Data[[#This Row],[Age ]]&gt;=61,"Elderly")</f>
        <v>Senior</v>
      </c>
    </row>
    <row r="491" spans="1:16" x14ac:dyDescent="0.3">
      <c r="A491" t="s">
        <v>540</v>
      </c>
      <c r="B491" t="s">
        <v>25</v>
      </c>
      <c r="C491" t="s">
        <v>46</v>
      </c>
      <c r="D491" t="s">
        <v>20</v>
      </c>
      <c r="E491" t="s">
        <v>43</v>
      </c>
      <c r="F491">
        <v>6</v>
      </c>
      <c r="G491" s="2">
        <v>660</v>
      </c>
      <c r="H491" s="2">
        <v>3960</v>
      </c>
      <c r="I491" t="s">
        <v>15</v>
      </c>
      <c r="J491" t="s">
        <v>23</v>
      </c>
      <c r="K491" t="str">
        <f>TEXT(Sales_Data[[#This Row],[Order Date]],"yyyy")</f>
        <v>2026</v>
      </c>
      <c r="L491" t="str">
        <f>TEXT(Sales_Data[[#This Row],[Order Date]],"mmmm")</f>
        <v>October</v>
      </c>
      <c r="M491" s="1">
        <v>46313</v>
      </c>
      <c r="N491" s="1">
        <v>23871</v>
      </c>
      <c r="O491">
        <f>DATEDIF(Sales_Data[[#This Row],[Date of Birth]],Sales_Data[[#This Row],[Order Date]],"y")</f>
        <v>61</v>
      </c>
      <c r="P491" t="str" cm="1">
        <f t="array" ref="P491">_xlfn.IFS(Sales_Data[[#This Row],[Age ]]&lt;=30,"Young Adult",Sales_Data[[#This Row],[Age ]]&lt;=45,"Senior",Sales_Data[[#This Row],[Age ]]&lt;=60,"Adult",Sales_Data[[#This Row],[Age ]]&gt;=61,"Elderly")</f>
        <v>Elderly</v>
      </c>
    </row>
    <row r="492" spans="1:16" x14ac:dyDescent="0.3">
      <c r="A492" t="s">
        <v>541</v>
      </c>
      <c r="B492" t="s">
        <v>25</v>
      </c>
      <c r="C492" t="s">
        <v>19</v>
      </c>
      <c r="D492" t="s">
        <v>13</v>
      </c>
      <c r="E492" t="s">
        <v>49</v>
      </c>
      <c r="F492">
        <v>34</v>
      </c>
      <c r="G492" s="2">
        <v>341</v>
      </c>
      <c r="H492" s="2">
        <v>11594</v>
      </c>
      <c r="I492" t="s">
        <v>22</v>
      </c>
      <c r="J492" t="s">
        <v>34</v>
      </c>
      <c r="K492" t="str">
        <f>TEXT(Sales_Data[[#This Row],[Order Date]],"yyyy")</f>
        <v>2026</v>
      </c>
      <c r="L492" t="str">
        <f>TEXT(Sales_Data[[#This Row],[Order Date]],"mmmm")</f>
        <v>September</v>
      </c>
      <c r="M492" s="1">
        <v>46266</v>
      </c>
      <c r="N492" s="1">
        <v>34685</v>
      </c>
      <c r="O492">
        <f>DATEDIF(Sales_Data[[#This Row],[Date of Birth]],Sales_Data[[#This Row],[Order Date]],"y")</f>
        <v>31</v>
      </c>
      <c r="P492" t="str" cm="1">
        <f t="array" ref="P492">_xlfn.IFS(Sales_Data[[#This Row],[Age ]]&lt;=30,"Young Adult",Sales_Data[[#This Row],[Age ]]&lt;=45,"Senior",Sales_Data[[#This Row],[Age ]]&lt;=60,"Adult",Sales_Data[[#This Row],[Age ]]&gt;=61,"Elderly")</f>
        <v>Senior</v>
      </c>
    </row>
    <row r="493" spans="1:16" x14ac:dyDescent="0.3">
      <c r="A493" t="s">
        <v>542</v>
      </c>
      <c r="B493" t="s">
        <v>29</v>
      </c>
      <c r="C493" t="s">
        <v>46</v>
      </c>
      <c r="D493" t="s">
        <v>66</v>
      </c>
      <c r="E493" t="s">
        <v>67</v>
      </c>
      <c r="F493">
        <v>10</v>
      </c>
      <c r="G493" s="2">
        <v>29</v>
      </c>
      <c r="H493" s="2">
        <v>290</v>
      </c>
      <c r="I493" t="s">
        <v>22</v>
      </c>
      <c r="J493" t="s">
        <v>16</v>
      </c>
      <c r="K493" t="str">
        <f>TEXT(Sales_Data[[#This Row],[Order Date]],"yyyy")</f>
        <v>2026</v>
      </c>
      <c r="L493" t="str">
        <f>TEXT(Sales_Data[[#This Row],[Order Date]],"mmmm")</f>
        <v>November</v>
      </c>
      <c r="M493" s="1">
        <v>46345</v>
      </c>
      <c r="N493" s="1">
        <v>37130</v>
      </c>
      <c r="O493">
        <f>DATEDIF(Sales_Data[[#This Row],[Date of Birth]],Sales_Data[[#This Row],[Order Date]],"y")</f>
        <v>25</v>
      </c>
      <c r="P493" t="str" cm="1">
        <f t="array" ref="P493">_xlfn.IFS(Sales_Data[[#This Row],[Age ]]&lt;=30,"Young Adult",Sales_Data[[#This Row],[Age ]]&lt;=45,"Senior",Sales_Data[[#This Row],[Age ]]&lt;=60,"Adult",Sales_Data[[#This Row],[Age ]]&gt;=61,"Elderly")</f>
        <v>Young Adult</v>
      </c>
    </row>
    <row r="494" spans="1:16" x14ac:dyDescent="0.3">
      <c r="A494" t="s">
        <v>543</v>
      </c>
      <c r="B494" t="s">
        <v>11</v>
      </c>
      <c r="C494" t="s">
        <v>42</v>
      </c>
      <c r="D494" t="s">
        <v>66</v>
      </c>
      <c r="E494" t="s">
        <v>92</v>
      </c>
      <c r="F494">
        <v>18</v>
      </c>
      <c r="G494" s="2">
        <v>45</v>
      </c>
      <c r="H494" s="2">
        <v>810</v>
      </c>
      <c r="I494" t="s">
        <v>22</v>
      </c>
      <c r="J494" t="s">
        <v>23</v>
      </c>
      <c r="K494" t="str">
        <f>TEXT(Sales_Data[[#This Row],[Order Date]],"yyyy")</f>
        <v>2026</v>
      </c>
      <c r="L494" t="str">
        <f>TEXT(Sales_Data[[#This Row],[Order Date]],"mmmm")</f>
        <v>July</v>
      </c>
      <c r="M494" s="1">
        <v>46228</v>
      </c>
      <c r="N494" s="1">
        <v>32829</v>
      </c>
      <c r="O494">
        <f>DATEDIF(Sales_Data[[#This Row],[Date of Birth]],Sales_Data[[#This Row],[Order Date]],"y")</f>
        <v>36</v>
      </c>
      <c r="P494" t="str" cm="1">
        <f t="array" ref="P494">_xlfn.IFS(Sales_Data[[#This Row],[Age ]]&lt;=30,"Young Adult",Sales_Data[[#This Row],[Age ]]&lt;=45,"Senior",Sales_Data[[#This Row],[Age ]]&lt;=60,"Adult",Sales_Data[[#This Row],[Age ]]&gt;=61,"Elderly")</f>
        <v>Senior</v>
      </c>
    </row>
    <row r="495" spans="1:16" x14ac:dyDescent="0.3">
      <c r="A495" t="s">
        <v>544</v>
      </c>
      <c r="B495" t="s">
        <v>29</v>
      </c>
      <c r="C495" t="s">
        <v>42</v>
      </c>
      <c r="D495" t="s">
        <v>66</v>
      </c>
      <c r="E495" t="s">
        <v>92</v>
      </c>
      <c r="F495">
        <v>36</v>
      </c>
      <c r="G495" s="2">
        <v>32</v>
      </c>
      <c r="H495" s="2">
        <v>1152</v>
      </c>
      <c r="I495" t="s">
        <v>15</v>
      </c>
      <c r="J495" t="s">
        <v>16</v>
      </c>
      <c r="K495" t="str">
        <f>TEXT(Sales_Data[[#This Row],[Order Date]],"yyyy")</f>
        <v>2026</v>
      </c>
      <c r="L495" t="str">
        <f>TEXT(Sales_Data[[#This Row],[Order Date]],"mmmm")</f>
        <v>May</v>
      </c>
      <c r="M495" s="1">
        <v>46152</v>
      </c>
      <c r="N495" s="1">
        <v>28648</v>
      </c>
      <c r="O495">
        <f>DATEDIF(Sales_Data[[#This Row],[Date of Birth]],Sales_Data[[#This Row],[Order Date]],"y")</f>
        <v>47</v>
      </c>
      <c r="P495" t="str" cm="1">
        <f t="array" ref="P495">_xlfn.IFS(Sales_Data[[#This Row],[Age ]]&lt;=30,"Young Adult",Sales_Data[[#This Row],[Age ]]&lt;=45,"Senior",Sales_Data[[#This Row],[Age ]]&lt;=60,"Adult",Sales_Data[[#This Row],[Age ]]&gt;=61,"Elderly")</f>
        <v>Adult</v>
      </c>
    </row>
    <row r="496" spans="1:16" x14ac:dyDescent="0.3">
      <c r="A496" t="s">
        <v>545</v>
      </c>
      <c r="B496" t="s">
        <v>25</v>
      </c>
      <c r="C496" t="s">
        <v>26</v>
      </c>
      <c r="D496" t="s">
        <v>13</v>
      </c>
      <c r="E496" t="s">
        <v>59</v>
      </c>
      <c r="F496">
        <v>29</v>
      </c>
      <c r="G496" s="2">
        <v>431</v>
      </c>
      <c r="H496" s="2">
        <v>12499</v>
      </c>
      <c r="I496" t="s">
        <v>15</v>
      </c>
      <c r="J496" t="s">
        <v>23</v>
      </c>
      <c r="K496" t="str">
        <f>TEXT(Sales_Data[[#This Row],[Order Date]],"yyyy")</f>
        <v>2026</v>
      </c>
      <c r="L496" t="str">
        <f>TEXT(Sales_Data[[#This Row],[Order Date]],"mmmm")</f>
        <v>February</v>
      </c>
      <c r="M496" s="1">
        <v>46060</v>
      </c>
      <c r="N496" s="1">
        <v>34611</v>
      </c>
      <c r="O496">
        <f>DATEDIF(Sales_Data[[#This Row],[Date of Birth]],Sales_Data[[#This Row],[Order Date]],"y")</f>
        <v>31</v>
      </c>
      <c r="P496" t="str" cm="1">
        <f t="array" ref="P496">_xlfn.IFS(Sales_Data[[#This Row],[Age ]]&lt;=30,"Young Adult",Sales_Data[[#This Row],[Age ]]&lt;=45,"Senior",Sales_Data[[#This Row],[Age ]]&lt;=60,"Adult",Sales_Data[[#This Row],[Age ]]&gt;=61,"Elderly")</f>
        <v>Senior</v>
      </c>
    </row>
    <row r="497" spans="1:16" x14ac:dyDescent="0.3">
      <c r="A497" t="s">
        <v>546</v>
      </c>
      <c r="B497" t="s">
        <v>25</v>
      </c>
      <c r="C497" t="s">
        <v>12</v>
      </c>
      <c r="D497" t="s">
        <v>20</v>
      </c>
      <c r="E497" t="s">
        <v>21</v>
      </c>
      <c r="F497">
        <v>6</v>
      </c>
      <c r="G497" s="2">
        <v>377</v>
      </c>
      <c r="H497" s="2">
        <v>2262</v>
      </c>
      <c r="I497" t="s">
        <v>15</v>
      </c>
      <c r="J497" t="s">
        <v>34</v>
      </c>
      <c r="K497" t="str">
        <f>TEXT(Sales_Data[[#This Row],[Order Date]],"yyyy")</f>
        <v>2026</v>
      </c>
      <c r="L497" t="str">
        <f>TEXT(Sales_Data[[#This Row],[Order Date]],"mmmm")</f>
        <v>August</v>
      </c>
      <c r="M497" s="1">
        <v>46254</v>
      </c>
      <c r="N497" s="1">
        <v>25440</v>
      </c>
      <c r="O497">
        <f>DATEDIF(Sales_Data[[#This Row],[Date of Birth]],Sales_Data[[#This Row],[Order Date]],"y")</f>
        <v>56</v>
      </c>
      <c r="P497" t="str" cm="1">
        <f t="array" ref="P497">_xlfn.IFS(Sales_Data[[#This Row],[Age ]]&lt;=30,"Young Adult",Sales_Data[[#This Row],[Age ]]&lt;=45,"Senior",Sales_Data[[#This Row],[Age ]]&lt;=60,"Adult",Sales_Data[[#This Row],[Age ]]&gt;=61,"Elderly")</f>
        <v>Adult</v>
      </c>
    </row>
    <row r="498" spans="1:16" x14ac:dyDescent="0.3">
      <c r="A498" t="s">
        <v>547</v>
      </c>
      <c r="B498" t="s">
        <v>25</v>
      </c>
      <c r="C498" t="s">
        <v>42</v>
      </c>
      <c r="D498" t="s">
        <v>30</v>
      </c>
      <c r="E498" t="s">
        <v>31</v>
      </c>
      <c r="F498">
        <v>6</v>
      </c>
      <c r="G498" s="2">
        <v>673</v>
      </c>
      <c r="H498" s="2">
        <v>4038</v>
      </c>
      <c r="I498" t="s">
        <v>22</v>
      </c>
      <c r="J498" t="s">
        <v>16</v>
      </c>
      <c r="K498" t="str">
        <f>TEXT(Sales_Data[[#This Row],[Order Date]],"yyyy")</f>
        <v>2026</v>
      </c>
      <c r="L498" t="str">
        <f>TEXT(Sales_Data[[#This Row],[Order Date]],"mmmm")</f>
        <v>January</v>
      </c>
      <c r="M498" s="1">
        <v>46046</v>
      </c>
      <c r="N498" s="1">
        <v>38130</v>
      </c>
      <c r="O498">
        <f>DATEDIF(Sales_Data[[#This Row],[Date of Birth]],Sales_Data[[#This Row],[Order Date]],"y")</f>
        <v>21</v>
      </c>
      <c r="P498" t="str" cm="1">
        <f t="array" ref="P498">_xlfn.IFS(Sales_Data[[#This Row],[Age ]]&lt;=30,"Young Adult",Sales_Data[[#This Row],[Age ]]&lt;=45,"Senior",Sales_Data[[#This Row],[Age ]]&lt;=60,"Adult",Sales_Data[[#This Row],[Age ]]&gt;=61,"Elderly")</f>
        <v>Young Adult</v>
      </c>
    </row>
    <row r="499" spans="1:16" x14ac:dyDescent="0.3">
      <c r="A499" t="s">
        <v>548</v>
      </c>
      <c r="B499" t="s">
        <v>11</v>
      </c>
      <c r="C499" t="s">
        <v>46</v>
      </c>
      <c r="D499" t="s">
        <v>13</v>
      </c>
      <c r="E499" t="s">
        <v>59</v>
      </c>
      <c r="F499">
        <v>41</v>
      </c>
      <c r="G499" s="2">
        <v>1112</v>
      </c>
      <c r="H499" s="2">
        <v>45592</v>
      </c>
      <c r="I499" t="s">
        <v>15</v>
      </c>
      <c r="J499" t="s">
        <v>23</v>
      </c>
      <c r="K499" t="str">
        <f>TEXT(Sales_Data[[#This Row],[Order Date]],"yyyy")</f>
        <v>2026</v>
      </c>
      <c r="L499" t="str">
        <f>TEXT(Sales_Data[[#This Row],[Order Date]],"mmmm")</f>
        <v>August</v>
      </c>
      <c r="M499" s="1">
        <v>46235</v>
      </c>
      <c r="N499" s="1">
        <v>25943</v>
      </c>
      <c r="O499">
        <f>DATEDIF(Sales_Data[[#This Row],[Date of Birth]],Sales_Data[[#This Row],[Order Date]],"y")</f>
        <v>55</v>
      </c>
      <c r="P499" t="str" cm="1">
        <f t="array" ref="P499">_xlfn.IFS(Sales_Data[[#This Row],[Age ]]&lt;=30,"Young Adult",Sales_Data[[#This Row],[Age ]]&lt;=45,"Senior",Sales_Data[[#This Row],[Age ]]&lt;=60,"Adult",Sales_Data[[#This Row],[Age ]]&gt;=61,"Elderly")</f>
        <v>Adult</v>
      </c>
    </row>
    <row r="500" spans="1:16" x14ac:dyDescent="0.3">
      <c r="A500" t="s">
        <v>549</v>
      </c>
      <c r="B500" t="s">
        <v>11</v>
      </c>
      <c r="C500" t="s">
        <v>69</v>
      </c>
      <c r="D500" t="s">
        <v>30</v>
      </c>
      <c r="E500" t="s">
        <v>61</v>
      </c>
      <c r="F500">
        <v>11</v>
      </c>
      <c r="G500" s="2">
        <v>740</v>
      </c>
      <c r="H500" s="2">
        <v>8140</v>
      </c>
      <c r="I500" t="s">
        <v>15</v>
      </c>
      <c r="J500" t="s">
        <v>23</v>
      </c>
      <c r="K500" t="str">
        <f>TEXT(Sales_Data[[#This Row],[Order Date]],"yyyy")</f>
        <v>2026</v>
      </c>
      <c r="L500" t="str">
        <f>TEXT(Sales_Data[[#This Row],[Order Date]],"mmmm")</f>
        <v>January</v>
      </c>
      <c r="M500" s="1">
        <v>46034</v>
      </c>
      <c r="N500" s="1">
        <v>28076</v>
      </c>
      <c r="O500">
        <f>DATEDIF(Sales_Data[[#This Row],[Date of Birth]],Sales_Data[[#This Row],[Order Date]],"y")</f>
        <v>49</v>
      </c>
      <c r="P500" t="str" cm="1">
        <f t="array" ref="P500">_xlfn.IFS(Sales_Data[[#This Row],[Age ]]&lt;=30,"Young Adult",Sales_Data[[#This Row],[Age ]]&lt;=45,"Senior",Sales_Data[[#This Row],[Age ]]&lt;=60,"Adult",Sales_Data[[#This Row],[Age ]]&gt;=61,"Elderly")</f>
        <v>Adult</v>
      </c>
    </row>
    <row r="501" spans="1:16" x14ac:dyDescent="0.3">
      <c r="A501" t="s">
        <v>550</v>
      </c>
      <c r="B501" t="s">
        <v>11</v>
      </c>
      <c r="C501" t="s">
        <v>69</v>
      </c>
      <c r="D501" t="s">
        <v>66</v>
      </c>
      <c r="E501" t="s">
        <v>70</v>
      </c>
      <c r="F501">
        <v>23</v>
      </c>
      <c r="G501" s="2">
        <v>44</v>
      </c>
      <c r="H501" s="2">
        <v>1012</v>
      </c>
      <c r="I501" t="s">
        <v>15</v>
      </c>
      <c r="J501" t="s">
        <v>23</v>
      </c>
      <c r="K501" t="str">
        <f>TEXT(Sales_Data[[#This Row],[Order Date]],"yyyy")</f>
        <v>2026</v>
      </c>
      <c r="L501" t="str">
        <f>TEXT(Sales_Data[[#This Row],[Order Date]],"mmmm")</f>
        <v>July</v>
      </c>
      <c r="M501" s="1">
        <v>46216</v>
      </c>
      <c r="N501" s="1">
        <v>25634</v>
      </c>
      <c r="O501">
        <f>DATEDIF(Sales_Data[[#This Row],[Date of Birth]],Sales_Data[[#This Row],[Order Date]],"y")</f>
        <v>56</v>
      </c>
      <c r="P501" t="str" cm="1">
        <f t="array" ref="P501">_xlfn.IFS(Sales_Data[[#This Row],[Age ]]&lt;=30,"Young Adult",Sales_Data[[#This Row],[Age ]]&lt;=45,"Senior",Sales_Data[[#This Row],[Age ]]&lt;=60,"Adult",Sales_Data[[#This Row],[Age ]]&gt;=61,"Elderly")</f>
        <v>Adult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1F8C-345E-438F-B9AB-8D39B578EE8C}">
  <dimension ref="A1:K27"/>
  <sheetViews>
    <sheetView workbookViewId="0">
      <selection activeCell="E20" sqref="E20"/>
    </sheetView>
  </sheetViews>
  <sheetFormatPr defaultRowHeight="14.4" x14ac:dyDescent="0.3"/>
  <cols>
    <col min="1" max="1" width="12.44140625" bestFit="1" customWidth="1"/>
    <col min="2" max="3" width="18.6640625" bestFit="1" customWidth="1"/>
    <col min="4" max="5" width="12.44140625" bestFit="1" customWidth="1"/>
    <col min="6" max="6" width="18.6640625" bestFit="1" customWidth="1"/>
    <col min="7" max="7" width="15.5546875" bestFit="1" customWidth="1"/>
    <col min="8" max="8" width="12.44140625" bestFit="1" customWidth="1"/>
    <col min="9" max="9" width="18.6640625" bestFit="1" customWidth="1"/>
    <col min="10" max="10" width="12.44140625" bestFit="1" customWidth="1"/>
    <col min="11" max="11" width="18.6640625" bestFit="1" customWidth="1"/>
  </cols>
  <sheetData>
    <row r="1" spans="1:11" x14ac:dyDescent="0.3">
      <c r="J1" s="3" t="s">
        <v>553</v>
      </c>
      <c r="K1" t="s">
        <v>565</v>
      </c>
    </row>
    <row r="3" spans="1:11" x14ac:dyDescent="0.3">
      <c r="A3" s="3" t="s">
        <v>557</v>
      </c>
      <c r="B3" t="s">
        <v>559</v>
      </c>
      <c r="D3" s="3" t="s">
        <v>557</v>
      </c>
      <c r="E3" t="s">
        <v>559</v>
      </c>
      <c r="G3" s="3" t="s">
        <v>557</v>
      </c>
      <c r="H3" t="s">
        <v>559</v>
      </c>
      <c r="J3" s="3" t="s">
        <v>557</v>
      </c>
      <c r="K3" t="s">
        <v>559</v>
      </c>
    </row>
    <row r="4" spans="1:11" x14ac:dyDescent="0.3">
      <c r="A4" s="4" t="s">
        <v>13</v>
      </c>
      <c r="B4" s="5">
        <v>1924685</v>
      </c>
      <c r="D4" s="4" t="s">
        <v>29</v>
      </c>
      <c r="E4" s="5">
        <v>1158530</v>
      </c>
      <c r="G4" s="4" t="s">
        <v>561</v>
      </c>
      <c r="H4" s="5">
        <v>2285773</v>
      </c>
      <c r="J4" s="4" t="s">
        <v>34</v>
      </c>
      <c r="K4" s="5">
        <v>2249344</v>
      </c>
    </row>
    <row r="5" spans="1:11" x14ac:dyDescent="0.3">
      <c r="A5" s="4" t="s">
        <v>30</v>
      </c>
      <c r="B5" s="5">
        <v>1393694</v>
      </c>
      <c r="D5" s="4" t="s">
        <v>18</v>
      </c>
      <c r="E5" s="5">
        <v>1906309</v>
      </c>
      <c r="G5" s="4" t="s">
        <v>562</v>
      </c>
      <c r="H5" s="5">
        <v>62086</v>
      </c>
      <c r="J5" s="4" t="s">
        <v>23</v>
      </c>
      <c r="K5" s="5">
        <v>1577093</v>
      </c>
    </row>
    <row r="6" spans="1:11" x14ac:dyDescent="0.3">
      <c r="A6" s="4" t="s">
        <v>20</v>
      </c>
      <c r="B6" s="5">
        <v>2571800</v>
      </c>
      <c r="D6" s="4" t="s">
        <v>11</v>
      </c>
      <c r="E6" s="5">
        <v>1439420</v>
      </c>
      <c r="G6" s="4" t="s">
        <v>563</v>
      </c>
      <c r="H6" s="5">
        <v>2337870</v>
      </c>
      <c r="J6" s="4" t="s">
        <v>16</v>
      </c>
      <c r="K6" s="5">
        <v>2156729</v>
      </c>
    </row>
    <row r="7" spans="1:11" x14ac:dyDescent="0.3">
      <c r="A7" s="4" t="s">
        <v>66</v>
      </c>
      <c r="B7" s="5">
        <v>92987</v>
      </c>
      <c r="D7" s="4" t="s">
        <v>25</v>
      </c>
      <c r="E7" s="5">
        <v>1478907</v>
      </c>
      <c r="G7" s="4" t="s">
        <v>564</v>
      </c>
      <c r="H7" s="5">
        <v>1297437</v>
      </c>
      <c r="J7" s="4" t="s">
        <v>558</v>
      </c>
      <c r="K7" s="5">
        <v>5983166</v>
      </c>
    </row>
    <row r="8" spans="1:11" x14ac:dyDescent="0.3">
      <c r="A8" s="4" t="s">
        <v>558</v>
      </c>
      <c r="B8" s="5">
        <v>5983166</v>
      </c>
      <c r="D8" s="4" t="s">
        <v>558</v>
      </c>
      <c r="E8" s="5">
        <v>5983166</v>
      </c>
      <c r="G8" s="4" t="s">
        <v>558</v>
      </c>
      <c r="H8" s="5">
        <v>5983166</v>
      </c>
    </row>
    <row r="10" spans="1:11" x14ac:dyDescent="0.3">
      <c r="E10" s="3" t="s">
        <v>557</v>
      </c>
      <c r="F10" t="s">
        <v>559</v>
      </c>
      <c r="H10" s="3" t="s">
        <v>557</v>
      </c>
      <c r="I10" t="s">
        <v>559</v>
      </c>
    </row>
    <row r="11" spans="1:11" x14ac:dyDescent="0.3">
      <c r="A11" t="s">
        <v>560</v>
      </c>
      <c r="C11" t="s">
        <v>559</v>
      </c>
      <c r="E11" s="4" t="s">
        <v>63</v>
      </c>
      <c r="F11" s="5">
        <v>464303</v>
      </c>
      <c r="H11" s="4" t="s">
        <v>26</v>
      </c>
      <c r="I11" s="5">
        <v>874835</v>
      </c>
    </row>
    <row r="12" spans="1:11" x14ac:dyDescent="0.3">
      <c r="A12">
        <v>500</v>
      </c>
      <c r="C12" s="5">
        <v>5983166</v>
      </c>
      <c r="E12" s="4" t="s">
        <v>27</v>
      </c>
      <c r="F12" s="5">
        <v>586721</v>
      </c>
      <c r="H12" s="4" t="s">
        <v>12</v>
      </c>
      <c r="I12" s="5">
        <v>789103</v>
      </c>
    </row>
    <row r="13" spans="1:11" x14ac:dyDescent="0.3">
      <c r="E13" s="4" t="s">
        <v>36</v>
      </c>
      <c r="F13" s="5">
        <v>490550</v>
      </c>
      <c r="H13" s="4" t="s">
        <v>42</v>
      </c>
      <c r="I13" s="5">
        <v>819317</v>
      </c>
    </row>
    <row r="14" spans="1:11" x14ac:dyDescent="0.3">
      <c r="A14" s="3" t="s">
        <v>557</v>
      </c>
      <c r="B14" t="s">
        <v>559</v>
      </c>
      <c r="E14" s="4" t="s">
        <v>43</v>
      </c>
      <c r="F14" s="5">
        <v>489368</v>
      </c>
      <c r="H14" s="4" t="s">
        <v>558</v>
      </c>
      <c r="I14" s="5">
        <v>2483255</v>
      </c>
    </row>
    <row r="15" spans="1:11" x14ac:dyDescent="0.3">
      <c r="A15" s="4" t="s">
        <v>566</v>
      </c>
      <c r="B15" s="5">
        <v>466039</v>
      </c>
      <c r="E15" s="4" t="s">
        <v>104</v>
      </c>
      <c r="F15" s="5">
        <v>541828</v>
      </c>
    </row>
    <row r="16" spans="1:11" x14ac:dyDescent="0.3">
      <c r="A16" s="4" t="s">
        <v>567</v>
      </c>
      <c r="B16" s="5">
        <v>522536</v>
      </c>
      <c r="E16" s="4" t="s">
        <v>558</v>
      </c>
      <c r="F16" s="5">
        <v>2572770</v>
      </c>
    </row>
    <row r="17" spans="1:9" x14ac:dyDescent="0.3">
      <c r="A17" s="4" t="s">
        <v>568</v>
      </c>
      <c r="B17" s="5">
        <v>518117</v>
      </c>
    </row>
    <row r="18" spans="1:9" x14ac:dyDescent="0.3">
      <c r="A18" s="4" t="s">
        <v>569</v>
      </c>
      <c r="B18" s="5">
        <v>411141</v>
      </c>
    </row>
    <row r="19" spans="1:9" x14ac:dyDescent="0.3">
      <c r="A19" s="4" t="s">
        <v>570</v>
      </c>
      <c r="B19" s="5">
        <v>543134</v>
      </c>
      <c r="D19" s="3" t="s">
        <v>557</v>
      </c>
      <c r="E19" t="s">
        <v>559</v>
      </c>
      <c r="G19" t="s">
        <v>578</v>
      </c>
      <c r="I19" t="s">
        <v>579</v>
      </c>
    </row>
    <row r="20" spans="1:9" x14ac:dyDescent="0.3">
      <c r="A20" s="4" t="s">
        <v>571</v>
      </c>
      <c r="B20" s="5">
        <v>563767</v>
      </c>
      <c r="D20" s="4" t="s">
        <v>15</v>
      </c>
      <c r="E20" s="5">
        <v>3301852</v>
      </c>
      <c r="G20">
        <v>12899</v>
      </c>
      <c r="I20" s="6">
        <v>41.177999999999997</v>
      </c>
    </row>
    <row r="21" spans="1:9" x14ac:dyDescent="0.3">
      <c r="A21" s="4" t="s">
        <v>572</v>
      </c>
      <c r="B21" s="5">
        <v>263029</v>
      </c>
      <c r="D21" s="4" t="s">
        <v>22</v>
      </c>
      <c r="E21" s="5">
        <v>2681314</v>
      </c>
    </row>
    <row r="22" spans="1:9" x14ac:dyDescent="0.3">
      <c r="A22" s="4" t="s">
        <v>573</v>
      </c>
      <c r="B22" s="5">
        <v>579790</v>
      </c>
      <c r="D22" s="4" t="s">
        <v>558</v>
      </c>
      <c r="E22" s="5">
        <v>5983166</v>
      </c>
    </row>
    <row r="23" spans="1:9" x14ac:dyDescent="0.3">
      <c r="A23" s="4" t="s">
        <v>574</v>
      </c>
      <c r="B23" s="5">
        <v>591837</v>
      </c>
    </row>
    <row r="24" spans="1:9" x14ac:dyDescent="0.3">
      <c r="A24" s="4" t="s">
        <v>575</v>
      </c>
      <c r="B24" s="5">
        <v>547007</v>
      </c>
    </row>
    <row r="25" spans="1:9" x14ac:dyDescent="0.3">
      <c r="A25" s="4" t="s">
        <v>576</v>
      </c>
      <c r="B25" s="5">
        <v>502784</v>
      </c>
    </row>
    <row r="26" spans="1:9" x14ac:dyDescent="0.3">
      <c r="A26" s="4" t="s">
        <v>577</v>
      </c>
      <c r="B26" s="5">
        <v>473985</v>
      </c>
    </row>
    <row r="27" spans="1:9" x14ac:dyDescent="0.3">
      <c r="A27" s="4" t="s">
        <v>558</v>
      </c>
      <c r="B27" s="5">
        <v>5983166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1DB2-6E73-4AC8-85F5-F1CD4AF7D131}">
  <dimension ref="A1"/>
  <sheetViews>
    <sheetView showGridLines="0" tabSelected="1" zoomScale="101" zoomScaleNormal="101" workbookViewId="0">
      <selection activeCell="N28" sqref="N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2026-09-08T12:51:48Z</dcterms:created>
  <dcterms:modified xsi:type="dcterms:W3CDTF">2026-09-09T10:02:04Z</dcterms:modified>
</cp:coreProperties>
</file>